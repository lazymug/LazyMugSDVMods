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s" sheetId="1" state="visible" r:id="rId1"/>
    <sheet xmlns:r="http://schemas.openxmlformats.org/officeDocument/2006/relationships" name="Cartas" sheetId="2" state="visible" r:id="rId2"/>
    <sheet xmlns:r="http://schemas.openxmlformats.org/officeDocument/2006/relationships" name="Referê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808080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2" borderId="0" pivotButton="0" quotePrefix="0" xfId="0"/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tardewvalleywiki.com/Stardew_Valley_Wiki" TargetMode="External" Id="rId1"/><Relationship Type="http://schemas.openxmlformats.org/officeDocument/2006/relationships/hyperlink" Target="https://stardewvalleywiki.com/Villagers" TargetMode="External" Id="rId2"/><Relationship Type="http://schemas.openxmlformats.org/officeDocument/2006/relationships/hyperlink" Target="https://stardewvalleywiki.com/Crops" TargetMode="External" Id="rId3"/><Relationship Type="http://schemas.openxmlformats.org/officeDocument/2006/relationships/hyperlink" Target="https://stardewvalleywiki.com/Animals" TargetMode="External" Id="rId4"/><Relationship Type="http://schemas.openxmlformats.org/officeDocument/2006/relationships/hyperlink" Target="https://stardewvalleywiki.com/Monsters" TargetMode="External" Id="rId5"/><Relationship Type="http://schemas.openxmlformats.org/officeDocument/2006/relationships/hyperlink" Target="https://stardewvalleywiki.com/Foraging" TargetMode="External" Id="rId6"/><Relationship Type="http://schemas.openxmlformats.org/officeDocument/2006/relationships/hyperlink" Target="https://stardewvalleywiki.com/Fish" TargetMode="External" Id="rId7"/><Relationship Type="http://schemas.openxmlformats.org/officeDocument/2006/relationships/hyperlink" Target="https://stardewvalleywiki.com/Cooking" TargetMode="External" Id="rId8"/><Relationship Type="http://schemas.openxmlformats.org/officeDocument/2006/relationships/hyperlink" Target="https://stardewvalleywiki.com/Minerals" TargetMode="External" Id="rId9"/><Relationship Type="http://schemas.openxmlformats.org/officeDocument/2006/relationships/hyperlink" Target="https://stardewvalleywiki.com/Tools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46" customWidth="1" min="5" max="5"/>
  </cols>
  <sheetData>
    <row r="1">
      <c r="A1" s="1" t="inlineStr">
        <is>
          <t>Orçamento de borda por tier</t>
        </is>
      </c>
    </row>
    <row r="3">
      <c r="A3" s="2" t="inlineStr">
        <is>
          <t>Tier</t>
        </is>
      </c>
      <c r="B3" s="2" t="inlineStr">
        <is>
          <t>Soma mín</t>
        </is>
      </c>
      <c r="C3" s="2" t="inlineStr">
        <is>
          <t>Soma máx</t>
        </is>
      </c>
      <c r="D3" s="2" t="inlineStr">
        <is>
          <t>Qtd alvo (v1)</t>
        </is>
      </c>
      <c r="E3" s="2" t="inlineStr">
        <is>
          <t>Observação</t>
        </is>
      </c>
    </row>
    <row r="4">
      <c r="A4" s="3" t="inlineStr">
        <is>
          <t>Comum</t>
        </is>
      </c>
      <c r="B4" s="4" t="n">
        <v>8</v>
      </c>
      <c r="C4" s="4" t="n">
        <v>15</v>
      </c>
      <c r="D4" s="4" t="n">
        <v>24</v>
      </c>
      <c r="E4" s="5" t="inlineStr">
        <is>
          <t>crops, forrageáveis, animais</t>
        </is>
      </c>
    </row>
    <row r="5">
      <c r="A5" s="6" t="inlineStr">
        <is>
          <t>Incomum</t>
        </is>
      </c>
      <c r="B5" s="4" t="n">
        <v>16</v>
      </c>
      <c r="C5" s="4" t="n">
        <v>22</v>
      </c>
      <c r="D5" s="4" t="n">
        <v>15</v>
      </c>
      <c r="E5" s="5" t="inlineStr">
        <is>
          <t>aldeões</t>
        </is>
      </c>
    </row>
    <row r="6">
      <c r="A6" s="7" t="inlineStr">
        <is>
          <t>Raro</t>
        </is>
      </c>
      <c r="B6" s="4" t="n">
        <v>23</v>
      </c>
      <c r="C6" s="4" t="n">
        <v>29</v>
      </c>
      <c r="D6" s="4" t="n">
        <v>8</v>
      </c>
      <c r="E6" s="5" t="inlineStr">
        <is>
          <t>monstros, minerais, peixes/goods especiais</t>
        </is>
      </c>
    </row>
    <row r="7">
      <c r="A7" s="8" t="inlineStr">
        <is>
          <t>Lendário</t>
        </is>
      </c>
      <c r="B7" s="4" t="n">
        <v>30</v>
      </c>
      <c r="C7" s="4" t="n">
        <v>36</v>
      </c>
      <c r="D7" s="4" t="n">
        <v>5</v>
      </c>
      <c r="E7" s="5" t="inlineStr">
        <is>
          <t>Mago, Rei Junimo, Sr. Qi, peixe lendário, Frag. Prismático</t>
        </is>
      </c>
    </row>
    <row r="9">
      <c r="A9" t="inlineStr">
        <is>
          <t>Cada carta tem 4 bordas (N/L/S/O), 1 a 10 (10 = 'A'). A soma das 4 deve cair na faixa do tier.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3" customWidth="1" min="4" max="4"/>
    <col width="11" customWidth="1" min="5" max="5"/>
    <col width="17" customWidth="1" min="6" max="6"/>
    <col width="20" customWidth="1" min="7" max="7"/>
    <col width="5" customWidth="1" min="8" max="8"/>
    <col width="5" customWidth="1" min="9" max="9"/>
    <col width="5" customWidth="1" min="10" max="10"/>
    <col width="5" customWidth="1" min="11" max="11"/>
    <col width="7" customWidth="1" min="12" max="12"/>
    <col width="11" customWidth="1" min="13" max="13"/>
    <col width="15" customWidth="1" min="14" max="14"/>
    <col width="26" customWidth="1" min="15" max="15"/>
    <col width="12" customWidth="1" min="16" max="16"/>
    <col width="10" customWidth="1" min="17" max="17"/>
  </cols>
  <sheetData>
    <row r="1">
      <c r="A1" s="1" t="inlineStr">
        <is>
          <t>Valley Triad — Acervo de cartas (v1)</t>
        </is>
      </c>
    </row>
    <row r="2">
      <c r="A2" s="9" t="inlineStr">
        <is>
          <t>Objetos reais do SDV (wiki). Sprite = de onde puxar a imagem em runtime: (O)&lt;id&gt; objeto · Villager:&lt;Nome&gt; · Animal:&lt;Tipo&gt; · Monster:&lt;Tipo&gt; · Special:&lt;Nome&gt;. 'Soma' e 'Orçamento?' são automáticos.</t>
        </is>
      </c>
    </row>
    <row r="4">
      <c r="A4" s="2" t="inlineStr">
        <is>
          <t>ID</t>
        </is>
      </c>
      <c r="B4" s="2" t="inlineStr">
        <is>
          <t>Nome (EN)</t>
        </is>
      </c>
      <c r="C4" s="2" t="inlineStr">
        <is>
          <t>Nome (PT)</t>
        </is>
      </c>
      <c r="D4" s="2" t="inlineStr">
        <is>
          <t>Categoria</t>
        </is>
      </c>
      <c r="E4" s="2" t="inlineStr">
        <is>
          <t>Tier</t>
        </is>
      </c>
      <c r="F4" s="2" t="inlineStr">
        <is>
          <t>Elemento (estação)</t>
        </is>
      </c>
      <c r="G4" s="2" t="inlineStr">
        <is>
          <t>Sprite (fonte/ID)</t>
        </is>
      </c>
      <c r="H4" s="2" t="inlineStr">
        <is>
          <t>N</t>
        </is>
      </c>
      <c r="I4" s="2" t="inlineStr">
        <is>
          <t>L</t>
        </is>
      </c>
      <c r="J4" s="2" t="inlineStr">
        <is>
          <t>S</t>
        </is>
      </c>
      <c r="K4" s="2" t="inlineStr">
        <is>
          <t>O</t>
        </is>
      </c>
      <c r="L4" s="2" t="inlineStr">
        <is>
          <t>Soma</t>
        </is>
      </c>
      <c r="M4" s="2" t="inlineStr">
        <is>
          <t>Orçamento?</t>
        </is>
      </c>
      <c r="N4" s="2" t="inlineStr">
        <is>
          <t>Aquisição</t>
        </is>
      </c>
      <c r="O4" s="2" t="inlineStr">
        <is>
          <t>Notas</t>
        </is>
      </c>
      <c r="P4" s="2" t="inlineStr">
        <is>
          <t>SpriteIndex</t>
        </is>
      </c>
      <c r="Q4" s="2" t="inlineStr">
        <is>
          <t>Preço (g)</t>
        </is>
      </c>
    </row>
    <row r="5">
      <c r="A5" s="4" t="n">
        <v>1</v>
      </c>
      <c r="B5" s="5" t="inlineStr">
        <is>
          <t>Parsnip</t>
        </is>
      </c>
      <c r="C5" s="5" t="inlineStr">
        <is>
          <t>Pastinaga</t>
        </is>
      </c>
      <c r="D5" s="5" t="inlineStr">
        <is>
          <t>Crop</t>
        </is>
      </c>
      <c r="E5" s="10" t="inlineStr">
        <is>
          <t>Comum</t>
        </is>
      </c>
      <c r="F5" s="4" t="inlineStr">
        <is>
          <t>Primavera</t>
        </is>
      </c>
      <c r="G5" s="5" t="inlineStr">
        <is>
          <t>(O)24</t>
        </is>
      </c>
      <c r="H5" s="4" t="n">
        <v>3</v>
      </c>
      <c r="I5" s="4" t="n">
        <v>1</v>
      </c>
      <c r="J5" s="4" t="n">
        <v>2</v>
      </c>
      <c r="K5" s="4" t="n">
        <v>2</v>
      </c>
      <c r="L5" s="4">
        <f>IF(COUNT(H5:K5)=4,SUM(H5:K5),"")</f>
        <v/>
      </c>
      <c r="M5" s="4">
        <f>IF(OR(E5="",L5=""),"",IF(AND(L5&gt;=VLOOKUP(E5,Tiers!$A$4:$C$7,2,0),L5&lt;=VLOOKUP(E5,Tiers!$A$4:$C$7,3,0)),"OK","Fora"))</f>
        <v/>
      </c>
      <c r="N5" s="5" t="inlineStr">
        <is>
          <t>Pacote inicial</t>
        </is>
      </c>
      <c r="O5" s="5" t="inlineStr">
        <is>
          <t>starter fraco</t>
        </is>
      </c>
      <c r="P5" s="4" t="n">
        <v>24</v>
      </c>
      <c r="Q5" s="4" t="n">
        <v>35</v>
      </c>
    </row>
    <row r="6">
      <c r="A6" s="4" t="n">
        <v>2</v>
      </c>
      <c r="B6" s="5" t="inlineStr">
        <is>
          <t>Cauliflower</t>
        </is>
      </c>
      <c r="C6" s="5" t="inlineStr">
        <is>
          <t>Couve-flor</t>
        </is>
      </c>
      <c r="D6" s="5" t="inlineStr">
        <is>
          <t>Crop</t>
        </is>
      </c>
      <c r="E6" s="10" t="inlineStr">
        <is>
          <t>Comum</t>
        </is>
      </c>
      <c r="F6" s="4" t="inlineStr">
        <is>
          <t>Primavera</t>
        </is>
      </c>
      <c r="G6" s="5" t="inlineStr">
        <is>
          <t>(O)190</t>
        </is>
      </c>
      <c r="H6" s="4" t="n">
        <v>5</v>
      </c>
      <c r="I6" s="4" t="n">
        <v>4</v>
      </c>
      <c r="J6" s="4" t="n">
        <v>3</v>
      </c>
      <c r="K6" s="4" t="n">
        <v>2</v>
      </c>
      <c r="L6" s="4">
        <f>IF(COUNT(H6:K6)=4,SUM(H6:K6),"")</f>
        <v/>
      </c>
      <c r="M6" s="4">
        <f>IF(OR(E6="",L6=""),"",IF(AND(L6&gt;=VLOOKUP(E6,Tiers!$A$4:$C$7,2,0),L6&lt;=VLOOKUP(E6,Tiers!$A$4:$C$7,3,0)),"OK","Fora"))</f>
        <v/>
      </c>
      <c r="N6" s="5" t="inlineStr">
        <is>
          <t>Pacote inicial</t>
        </is>
      </c>
      <c r="O6" s="5" t="inlineStr">
        <is>
          <t>crop grande</t>
        </is>
      </c>
      <c r="P6" s="4" t="n">
        <v>190</v>
      </c>
      <c r="Q6" s="4" t="n">
        <v>175</v>
      </c>
    </row>
    <row r="7">
      <c r="A7" s="4" t="n">
        <v>3</v>
      </c>
      <c r="B7" s="5" t="inlineStr">
        <is>
          <t>Potato</t>
        </is>
      </c>
      <c r="C7" s="5" t="inlineStr">
        <is>
          <t>Batata</t>
        </is>
      </c>
      <c r="D7" s="5" t="inlineStr">
        <is>
          <t>Crop</t>
        </is>
      </c>
      <c r="E7" s="10" t="inlineStr">
        <is>
          <t>Comum</t>
        </is>
      </c>
      <c r="F7" s="4" t="inlineStr">
        <is>
          <t>Primavera</t>
        </is>
      </c>
      <c r="G7" s="5" t="inlineStr">
        <is>
          <t>(O)192</t>
        </is>
      </c>
      <c r="H7" s="4" t="n">
        <v>3</v>
      </c>
      <c r="I7" s="4" t="n">
        <v>3</v>
      </c>
      <c r="J7" s="4" t="n">
        <v>3</v>
      </c>
      <c r="K7" s="4" t="n">
        <v>2</v>
      </c>
      <c r="L7" s="4">
        <f>IF(COUNT(H7:K7)=4,SUM(H7:K7),"")</f>
        <v/>
      </c>
      <c r="M7" s="4">
        <f>IF(OR(E7="",L7=""),"",IF(AND(L7&gt;=VLOOKUP(E7,Tiers!$A$4:$C$7,2,0),L7&lt;=VLOOKUP(E7,Tiers!$A$4:$C$7,3,0)),"OK","Fora"))</f>
        <v/>
      </c>
      <c r="N7" s="5" t="inlineStr">
        <is>
          <t>Pacote inicial</t>
        </is>
      </c>
      <c r="O7" s="5" t="inlineStr">
        <is>
          <t>arredondada</t>
        </is>
      </c>
      <c r="P7" s="4" t="n">
        <v>192</v>
      </c>
      <c r="Q7" s="4" t="n">
        <v>80</v>
      </c>
    </row>
    <row r="8">
      <c r="A8" s="4" t="n">
        <v>4</v>
      </c>
      <c r="B8" s="5" t="inlineStr">
        <is>
          <t>Green Bean</t>
        </is>
      </c>
      <c r="C8" s="5" t="inlineStr">
        <is>
          <t>Vagem</t>
        </is>
      </c>
      <c r="D8" s="5" t="inlineStr">
        <is>
          <t>Crop</t>
        </is>
      </c>
      <c r="E8" s="10" t="inlineStr">
        <is>
          <t>Comum</t>
        </is>
      </c>
      <c r="F8" s="4" t="inlineStr">
        <is>
          <t>Primavera</t>
        </is>
      </c>
      <c r="G8" s="5" t="inlineStr">
        <is>
          <t>(O)188</t>
        </is>
      </c>
      <c r="H8" s="4" t="n">
        <v>2</v>
      </c>
      <c r="I8" s="4" t="n">
        <v>5</v>
      </c>
      <c r="J8" s="4" t="n">
        <v>2</v>
      </c>
      <c r="K8" s="4" t="n">
        <v>2</v>
      </c>
      <c r="L8" s="4">
        <f>IF(COUNT(H8:K8)=4,SUM(H8:K8),"")</f>
        <v/>
      </c>
      <c r="M8" s="4">
        <f>IF(OR(E8="",L8=""),"",IF(AND(L8&gt;=VLOOKUP(E8,Tiers!$A$4:$C$7,2,0),L8&lt;=VLOOKUP(E8,Tiers!$A$4:$C$7,3,0)),"OK","Fora"))</f>
        <v/>
      </c>
      <c r="N8" s="5" t="inlineStr">
        <is>
          <t>Ganhar de NPC</t>
        </is>
      </c>
      <c r="O8" s="5" t="inlineStr">
        <is>
          <t>pico à direita</t>
        </is>
      </c>
      <c r="P8" s="4" t="n">
        <v>188</v>
      </c>
      <c r="Q8" s="4" t="n">
        <v>40</v>
      </c>
    </row>
    <row r="9">
      <c r="A9" s="4" t="n">
        <v>5</v>
      </c>
      <c r="B9" s="5" t="inlineStr">
        <is>
          <t>Blueberry</t>
        </is>
      </c>
      <c r="C9" s="5" t="inlineStr">
        <is>
          <t>Mirtilo</t>
        </is>
      </c>
      <c r="D9" s="5" t="inlineStr">
        <is>
          <t>Crop</t>
        </is>
      </c>
      <c r="E9" s="10" t="inlineStr">
        <is>
          <t>Comum</t>
        </is>
      </c>
      <c r="F9" s="4" t="inlineStr">
        <is>
          <t>Verão</t>
        </is>
      </c>
      <c r="G9" s="5" t="inlineStr">
        <is>
          <t>(O)258</t>
        </is>
      </c>
      <c r="H9" s="4" t="n">
        <v>4</v>
      </c>
      <c r="I9" s="4" t="n">
        <v>2</v>
      </c>
      <c r="J9" s="4" t="n">
        <v>4</v>
      </c>
      <c r="K9" s="4" t="n">
        <v>3</v>
      </c>
      <c r="L9" s="4">
        <f>IF(COUNT(H9:K9)=4,SUM(H9:K9),"")</f>
        <v/>
      </c>
      <c r="M9" s="4">
        <f>IF(OR(E9="",L9=""),"",IF(AND(L9&gt;=VLOOKUP(E9,Tiers!$A$4:$C$7,2,0),L9&lt;=VLOOKUP(E9,Tiers!$A$4:$C$7,3,0)),"OK","Fora"))</f>
        <v/>
      </c>
      <c r="N9" s="5" t="inlineStr">
        <is>
          <t>Pacote inicial</t>
        </is>
      </c>
      <c r="O9" s="5" t="inlineStr">
        <is>
          <t>vertical</t>
        </is>
      </c>
      <c r="P9" s="4" t="n">
        <v>258</v>
      </c>
      <c r="Q9" s="4" t="n">
        <v>50</v>
      </c>
    </row>
    <row r="10">
      <c r="A10" s="4" t="n">
        <v>6</v>
      </c>
      <c r="B10" s="5" t="inlineStr">
        <is>
          <t>Hot Pepper</t>
        </is>
      </c>
      <c r="C10" s="5" t="inlineStr">
        <is>
          <t>Pimenta</t>
        </is>
      </c>
      <c r="D10" s="5" t="inlineStr">
        <is>
          <t>Crop</t>
        </is>
      </c>
      <c r="E10" s="10" t="inlineStr">
        <is>
          <t>Comum</t>
        </is>
      </c>
      <c r="F10" s="4" t="inlineStr">
        <is>
          <t>Verão</t>
        </is>
      </c>
      <c r="G10" s="5" t="inlineStr">
        <is>
          <t>(O)260</t>
        </is>
      </c>
      <c r="H10" s="4" t="n">
        <v>5</v>
      </c>
      <c r="I10" s="4" t="n">
        <v>2</v>
      </c>
      <c r="J10" s="4" t="n">
        <v>3</v>
      </c>
      <c r="K10" s="4" t="n">
        <v>1</v>
      </c>
      <c r="L10" s="4">
        <f>IF(COUNT(H10:K10)=4,SUM(H10:K10),"")</f>
        <v/>
      </c>
      <c r="M10" s="4">
        <f>IF(OR(E10="",L10=""),"",IF(AND(L10&gt;=VLOOKUP(E10,Tiers!$A$4:$C$7,2,0),L10&lt;=VLOOKUP(E10,Tiers!$A$4:$C$7,3,0)),"OK","Fora"))</f>
        <v/>
      </c>
      <c r="N10" s="5" t="inlineStr">
        <is>
          <t>Ganhar de NPC</t>
        </is>
      </c>
      <c r="O10" s="5" t="inlineStr">
        <is>
          <t>pico no topo</t>
        </is>
      </c>
      <c r="P10" s="4" t="n">
        <v>260</v>
      </c>
      <c r="Q10" s="4" t="n">
        <v>40</v>
      </c>
    </row>
    <row r="11">
      <c r="A11" s="4" t="n">
        <v>7</v>
      </c>
      <c r="B11" s="5" t="inlineStr">
        <is>
          <t>Melon</t>
        </is>
      </c>
      <c r="C11" s="5" t="inlineStr">
        <is>
          <t>Melão</t>
        </is>
      </c>
      <c r="D11" s="5" t="inlineStr">
        <is>
          <t>Crop</t>
        </is>
      </c>
      <c r="E11" s="10" t="inlineStr">
        <is>
          <t>Comum</t>
        </is>
      </c>
      <c r="F11" s="4" t="inlineStr">
        <is>
          <t>Verão</t>
        </is>
      </c>
      <c r="G11" s="5" t="inlineStr">
        <is>
          <t>(O)254</t>
        </is>
      </c>
      <c r="H11" s="4" t="n">
        <v>4</v>
      </c>
      <c r="I11" s="4" t="n">
        <v>4</v>
      </c>
      <c r="J11" s="4" t="n">
        <v>4</v>
      </c>
      <c r="K11" s="4" t="n">
        <v>2</v>
      </c>
      <c r="L11" s="4">
        <f>IF(COUNT(H11:K11)=4,SUM(H11:K11),"")</f>
        <v/>
      </c>
      <c r="M11" s="4">
        <f>IF(OR(E11="",L11=""),"",IF(AND(L11&gt;=VLOOKUP(E11,Tiers!$A$4:$C$7,2,0),L11&lt;=VLOOKUP(E11,Tiers!$A$4:$C$7,3,0)),"OK","Fora"))</f>
        <v/>
      </c>
      <c r="N11" s="5" t="inlineStr">
        <is>
          <t>Ganhar de NPC</t>
        </is>
      </c>
      <c r="O11" s="5" t="inlineStr">
        <is>
          <t>fruta grande</t>
        </is>
      </c>
      <c r="P11" s="4" t="n">
        <v>254</v>
      </c>
      <c r="Q11" s="4" t="n">
        <v>250</v>
      </c>
    </row>
    <row r="12">
      <c r="A12" s="4" t="n">
        <v>8</v>
      </c>
      <c r="B12" s="5" t="inlineStr">
        <is>
          <t>Tomato</t>
        </is>
      </c>
      <c r="C12" s="5" t="inlineStr">
        <is>
          <t>Tomate</t>
        </is>
      </c>
      <c r="D12" s="5" t="inlineStr">
        <is>
          <t>Crop</t>
        </is>
      </c>
      <c r="E12" s="10" t="inlineStr">
        <is>
          <t>Comum</t>
        </is>
      </c>
      <c r="F12" s="4" t="inlineStr">
        <is>
          <t>Verão</t>
        </is>
      </c>
      <c r="G12" s="5" t="inlineStr">
        <is>
          <t>(O)256</t>
        </is>
      </c>
      <c r="H12" s="4" t="n">
        <v>3</v>
      </c>
      <c r="I12" s="4" t="n">
        <v>4</v>
      </c>
      <c r="J12" s="4" t="n">
        <v>3</v>
      </c>
      <c r="K12" s="4" t="n">
        <v>2</v>
      </c>
      <c r="L12" s="4">
        <f>IF(COUNT(H12:K12)=4,SUM(H12:K12),"")</f>
        <v/>
      </c>
      <c r="M12" s="4">
        <f>IF(OR(E12="",L12=""),"",IF(AND(L12&gt;=VLOOKUP(E12,Tiers!$A$4:$C$7,2,0),L12&lt;=VLOOKUP(E12,Tiers!$A$4:$C$7,3,0)),"OK","Fora"))</f>
        <v/>
      </c>
      <c r="N12" s="5" t="inlineStr">
        <is>
          <t>Pacote inicial</t>
        </is>
      </c>
      <c r="O12" s="5" t="inlineStr"/>
      <c r="P12" s="4" t="n">
        <v>256</v>
      </c>
      <c r="Q12" s="4" t="n">
        <v>60</v>
      </c>
    </row>
    <row r="13">
      <c r="A13" s="4" t="n">
        <v>9</v>
      </c>
      <c r="B13" s="5" t="inlineStr">
        <is>
          <t>Pumpkin</t>
        </is>
      </c>
      <c r="C13" s="5" t="inlineStr">
        <is>
          <t>Abóbora</t>
        </is>
      </c>
      <c r="D13" s="5" t="inlineStr">
        <is>
          <t>Crop</t>
        </is>
      </c>
      <c r="E13" s="10" t="inlineStr">
        <is>
          <t>Comum</t>
        </is>
      </c>
      <c r="F13" s="4" t="inlineStr">
        <is>
          <t>Outono</t>
        </is>
      </c>
      <c r="G13" s="5" t="inlineStr">
        <is>
          <t>(O)276</t>
        </is>
      </c>
      <c r="H13" s="4" t="n">
        <v>6</v>
      </c>
      <c r="I13" s="4" t="n">
        <v>3</v>
      </c>
      <c r="J13" s="4" t="n">
        <v>4</v>
      </c>
      <c r="K13" s="4" t="n">
        <v>1</v>
      </c>
      <c r="L13" s="4">
        <f>IF(COUNT(H13:K13)=4,SUM(H13:K13),"")</f>
        <v/>
      </c>
      <c r="M13" s="4">
        <f>IF(OR(E13="",L13=""),"",IF(AND(L13&gt;=VLOOKUP(E13,Tiers!$A$4:$C$7,2,0),L13&lt;=VLOOKUP(E13,Tiers!$A$4:$C$7,3,0)),"OK","Fora"))</f>
        <v/>
      </c>
      <c r="N13" s="5" t="inlineStr">
        <is>
          <t>Ganhar de NPC</t>
        </is>
      </c>
      <c r="O13" s="5" t="inlineStr">
        <is>
          <t>topo forte; casa de Outono</t>
        </is>
      </c>
      <c r="P13" s="4" t="n">
        <v>276</v>
      </c>
      <c r="Q13" s="4" t="n">
        <v>320</v>
      </c>
    </row>
    <row r="14">
      <c r="A14" s="4" t="n">
        <v>10</v>
      </c>
      <c r="B14" s="5" t="inlineStr">
        <is>
          <t>Cranberries</t>
        </is>
      </c>
      <c r="C14" s="5" t="inlineStr">
        <is>
          <t>Oxicoco</t>
        </is>
      </c>
      <c r="D14" s="5" t="inlineStr">
        <is>
          <t>Crop</t>
        </is>
      </c>
      <c r="E14" s="10" t="inlineStr">
        <is>
          <t>Comum</t>
        </is>
      </c>
      <c r="F14" s="4" t="inlineStr">
        <is>
          <t>Outono</t>
        </is>
      </c>
      <c r="G14" s="5" t="inlineStr">
        <is>
          <t>(O)282</t>
        </is>
      </c>
      <c r="H14" s="4" t="n">
        <v>3</v>
      </c>
      <c r="I14" s="4" t="n">
        <v>4</v>
      </c>
      <c r="J14" s="4" t="n">
        <v>3</v>
      </c>
      <c r="K14" s="4" t="n">
        <v>4</v>
      </c>
      <c r="L14" s="4">
        <f>IF(COUNT(H14:K14)=4,SUM(H14:K14),"")</f>
        <v/>
      </c>
      <c r="M14" s="4">
        <f>IF(OR(E14="",L14=""),"",IF(AND(L14&gt;=VLOOKUP(E14,Tiers!$A$4:$C$7,2,0),L14&lt;=VLOOKUP(E14,Tiers!$A$4:$C$7,3,0)),"OK","Fora"))</f>
        <v/>
      </c>
      <c r="N14" s="5" t="inlineStr">
        <is>
          <t>Ganhar de NPC</t>
        </is>
      </c>
      <c r="O14" s="5" t="inlineStr">
        <is>
          <t>horizontal</t>
        </is>
      </c>
      <c r="P14" s="4" t="n">
        <v>282</v>
      </c>
      <c r="Q14" s="4" t="n">
        <v>75</v>
      </c>
    </row>
    <row r="15">
      <c r="A15" s="4" t="n">
        <v>11</v>
      </c>
      <c r="B15" s="5" t="inlineStr">
        <is>
          <t>Eggplant</t>
        </is>
      </c>
      <c r="C15" s="5" t="inlineStr">
        <is>
          <t>Berinjela</t>
        </is>
      </c>
      <c r="D15" s="5" t="inlineStr">
        <is>
          <t>Crop</t>
        </is>
      </c>
      <c r="E15" s="10" t="inlineStr">
        <is>
          <t>Comum</t>
        </is>
      </c>
      <c r="F15" s="4" t="inlineStr">
        <is>
          <t>Outono</t>
        </is>
      </c>
      <c r="G15" s="5" t="inlineStr">
        <is>
          <t>(O)272</t>
        </is>
      </c>
      <c r="H15" s="4" t="n">
        <v>4</v>
      </c>
      <c r="I15" s="4" t="n">
        <v>3</v>
      </c>
      <c r="J15" s="4" t="n">
        <v>4</v>
      </c>
      <c r="K15" s="4" t="n">
        <v>2</v>
      </c>
      <c r="L15" s="4">
        <f>IF(COUNT(H15:K15)=4,SUM(H15:K15),"")</f>
        <v/>
      </c>
      <c r="M15" s="4">
        <f>IF(OR(E15="",L15=""),"",IF(AND(L15&gt;=VLOOKUP(E15,Tiers!$A$4:$C$7,2,0),L15&lt;=VLOOKUP(E15,Tiers!$A$4:$C$7,3,0)),"OK","Fora"))</f>
        <v/>
      </c>
      <c r="N15" s="5" t="inlineStr">
        <is>
          <t>Ganhar de NPC</t>
        </is>
      </c>
      <c r="O15" s="5" t="inlineStr"/>
      <c r="P15" s="4" t="n">
        <v>272</v>
      </c>
      <c r="Q15" s="4" t="n">
        <v>60</v>
      </c>
    </row>
    <row r="16">
      <c r="A16" s="4" t="n">
        <v>12</v>
      </c>
      <c r="B16" s="5" t="inlineStr">
        <is>
          <t>Yam</t>
        </is>
      </c>
      <c r="C16" s="5" t="inlineStr">
        <is>
          <t>Inhame</t>
        </is>
      </c>
      <c r="D16" s="5" t="inlineStr">
        <is>
          <t>Crop</t>
        </is>
      </c>
      <c r="E16" s="10" t="inlineStr">
        <is>
          <t>Comum</t>
        </is>
      </c>
      <c r="F16" s="4" t="inlineStr">
        <is>
          <t>Outono</t>
        </is>
      </c>
      <c r="G16" s="5" t="inlineStr">
        <is>
          <t>(O)280</t>
        </is>
      </c>
      <c r="H16" s="4" t="n">
        <v>3</v>
      </c>
      <c r="I16" s="4" t="n">
        <v>2</v>
      </c>
      <c r="J16" s="4" t="n">
        <v>5</v>
      </c>
      <c r="K16" s="4" t="n">
        <v>2</v>
      </c>
      <c r="L16" s="4">
        <f>IF(COUNT(H16:K16)=4,SUM(H16:K16),"")</f>
        <v/>
      </c>
      <c r="M16" s="4">
        <f>IF(OR(E16="",L16=""),"",IF(AND(L16&gt;=VLOOKUP(E16,Tiers!$A$4:$C$7,2,0),L16&lt;=VLOOKUP(E16,Tiers!$A$4:$C$7,3,0)),"OK","Fora"))</f>
        <v/>
      </c>
      <c r="N16" s="5" t="inlineStr">
        <is>
          <t>Pacote inicial</t>
        </is>
      </c>
      <c r="O16" s="5" t="inlineStr">
        <is>
          <t>raiz: pico embaixo</t>
        </is>
      </c>
      <c r="P16" s="4" t="n">
        <v>280</v>
      </c>
      <c r="Q16" s="4" t="n">
        <v>160</v>
      </c>
    </row>
    <row r="17">
      <c r="A17" s="4" t="n">
        <v>13</v>
      </c>
      <c r="B17" s="5" t="inlineStr">
        <is>
          <t>Wild Horseradish</t>
        </is>
      </c>
      <c r="C17" s="5" t="inlineStr">
        <is>
          <t>Raiz-forte silvestre</t>
        </is>
      </c>
      <c r="D17" s="5" t="inlineStr">
        <is>
          <t>Forrageável</t>
        </is>
      </c>
      <c r="E17" s="10" t="inlineStr">
        <is>
          <t>Comum</t>
        </is>
      </c>
      <c r="F17" s="4" t="inlineStr">
        <is>
          <t>Primavera</t>
        </is>
      </c>
      <c r="G17" s="5" t="inlineStr">
        <is>
          <t>(O)16</t>
        </is>
      </c>
      <c r="H17" s="4" t="n">
        <v>2</v>
      </c>
      <c r="I17" s="4" t="n">
        <v>3</v>
      </c>
      <c r="J17" s="4" t="n">
        <v>2</v>
      </c>
      <c r="K17" s="4" t="n">
        <v>1</v>
      </c>
      <c r="L17" s="4">
        <f>IF(COUNT(H17:K17)=4,SUM(H17:K17),"")</f>
        <v/>
      </c>
      <c r="M17" s="4">
        <f>IF(OR(E17="",L17=""),"",IF(AND(L17&gt;=VLOOKUP(E17,Tiers!$A$4:$C$7,2,0),L17&lt;=VLOOKUP(E17,Tiers!$A$4:$C$7,3,0)),"OK","Fora"))</f>
        <v/>
      </c>
      <c r="N17" s="5" t="inlineStr">
        <is>
          <t>Ganhar de NPC</t>
        </is>
      </c>
      <c r="O17" s="5" t="inlineStr"/>
      <c r="P17" s="4" t="n">
        <v>16</v>
      </c>
      <c r="Q17" s="4" t="n">
        <v>50</v>
      </c>
    </row>
    <row r="18">
      <c r="A18" s="4" t="n">
        <v>14</v>
      </c>
      <c r="B18" s="5" t="inlineStr">
        <is>
          <t>Salmonberry</t>
        </is>
      </c>
      <c r="C18" s="5" t="inlineStr">
        <is>
          <t>Amora-salmão</t>
        </is>
      </c>
      <c r="D18" s="5" t="inlineStr">
        <is>
          <t>Forrageável</t>
        </is>
      </c>
      <c r="E18" s="10" t="inlineStr">
        <is>
          <t>Comum</t>
        </is>
      </c>
      <c r="F18" s="4" t="inlineStr">
        <is>
          <t>Primavera</t>
        </is>
      </c>
      <c r="G18" s="5" t="inlineStr">
        <is>
          <t>(O)296</t>
        </is>
      </c>
      <c r="H18" s="4" t="n">
        <v>2</v>
      </c>
      <c r="I18" s="4" t="n">
        <v>2</v>
      </c>
      <c r="J18" s="4" t="n">
        <v>3</v>
      </c>
      <c r="K18" s="4" t="n">
        <v>2</v>
      </c>
      <c r="L18" s="4">
        <f>IF(COUNT(H18:K18)=4,SUM(H18:K18),"")</f>
        <v/>
      </c>
      <c r="M18" s="4">
        <f>IF(OR(E18="",L18=""),"",IF(AND(L18&gt;=VLOOKUP(E18,Tiers!$A$4:$C$7,2,0),L18&lt;=VLOOKUP(E18,Tiers!$A$4:$C$7,3,0)),"OK","Fora"))</f>
        <v/>
      </c>
      <c r="N18" s="5" t="inlineStr">
        <is>
          <t>Ganhar de NPC</t>
        </is>
      </c>
      <c r="O18" s="5" t="inlineStr"/>
      <c r="P18" s="4" t="n">
        <v>296</v>
      </c>
      <c r="Q18" s="4" t="n">
        <v>5</v>
      </c>
    </row>
    <row r="19">
      <c r="A19" s="4" t="n">
        <v>15</v>
      </c>
      <c r="B19" s="5" t="inlineStr">
        <is>
          <t>Spice Berry</t>
        </is>
      </c>
      <c r="C19" s="5" t="inlineStr">
        <is>
          <t>Baga Picante</t>
        </is>
      </c>
      <c r="D19" s="5" t="inlineStr">
        <is>
          <t>Forrageável</t>
        </is>
      </c>
      <c r="E19" s="10" t="inlineStr">
        <is>
          <t>Comum</t>
        </is>
      </c>
      <c r="F19" s="4" t="inlineStr">
        <is>
          <t>Verão</t>
        </is>
      </c>
      <c r="G19" s="5" t="inlineStr">
        <is>
          <t>(O)396</t>
        </is>
      </c>
      <c r="H19" s="4" t="n">
        <v>3</v>
      </c>
      <c r="I19" s="4" t="n">
        <v>2</v>
      </c>
      <c r="J19" s="4" t="n">
        <v>2</v>
      </c>
      <c r="K19" s="4" t="n">
        <v>2</v>
      </c>
      <c r="L19" s="4">
        <f>IF(COUNT(H19:K19)=4,SUM(H19:K19),"")</f>
        <v/>
      </c>
      <c r="M19" s="4">
        <f>IF(OR(E19="",L19=""),"",IF(AND(L19&gt;=VLOOKUP(E19,Tiers!$A$4:$C$7,2,0),L19&lt;=VLOOKUP(E19,Tiers!$A$4:$C$7,3,0)),"OK","Fora"))</f>
        <v/>
      </c>
      <c r="N19" s="5" t="inlineStr">
        <is>
          <t>Ganhar de NPC</t>
        </is>
      </c>
      <c r="O19" s="5" t="inlineStr"/>
      <c r="P19" s="4" t="n">
        <v>396</v>
      </c>
      <c r="Q19" s="4" t="n">
        <v>80</v>
      </c>
    </row>
    <row r="20">
      <c r="A20" s="4" t="n">
        <v>16</v>
      </c>
      <c r="B20" s="5" t="inlineStr">
        <is>
          <t>Common Mushroom</t>
        </is>
      </c>
      <c r="C20" s="5" t="inlineStr">
        <is>
          <t>Cogumelo Comum</t>
        </is>
      </c>
      <c r="D20" s="5" t="inlineStr">
        <is>
          <t>Forrageável</t>
        </is>
      </c>
      <c r="E20" s="10" t="inlineStr">
        <is>
          <t>Comum</t>
        </is>
      </c>
      <c r="F20" s="4" t="inlineStr">
        <is>
          <t>Outono</t>
        </is>
      </c>
      <c r="G20" s="5" t="inlineStr">
        <is>
          <t>(O)404</t>
        </is>
      </c>
      <c r="H20" s="4" t="n">
        <v>3</v>
      </c>
      <c r="I20" s="4" t="n">
        <v>3</v>
      </c>
      <c r="J20" s="4" t="n">
        <v>2</v>
      </c>
      <c r="K20" s="4" t="n">
        <v>2</v>
      </c>
      <c r="L20" s="4">
        <f>IF(COUNT(H20:K20)=4,SUM(H20:K20),"")</f>
        <v/>
      </c>
      <c r="M20" s="4">
        <f>IF(OR(E20="",L20=""),"",IF(AND(L20&gt;=VLOOKUP(E20,Tiers!$A$4:$C$7,2,0),L20&lt;=VLOOKUP(E20,Tiers!$A$4:$C$7,3,0)),"OK","Fora"))</f>
        <v/>
      </c>
      <c r="N20" s="5" t="inlineStr">
        <is>
          <t>Ganhar de NPC</t>
        </is>
      </c>
      <c r="O20" s="5" t="inlineStr"/>
      <c r="P20" s="4" t="n">
        <v>404</v>
      </c>
      <c r="Q20" s="4" t="n">
        <v>40</v>
      </c>
    </row>
    <row r="21">
      <c r="A21" s="4" t="n">
        <v>17</v>
      </c>
      <c r="B21" s="5" t="inlineStr">
        <is>
          <t>Blackberry</t>
        </is>
      </c>
      <c r="C21" s="5" t="inlineStr">
        <is>
          <t>Amora-preta</t>
        </is>
      </c>
      <c r="D21" s="5" t="inlineStr">
        <is>
          <t>Forrageável</t>
        </is>
      </c>
      <c r="E21" s="10" t="inlineStr">
        <is>
          <t>Comum</t>
        </is>
      </c>
      <c r="F21" s="4" t="inlineStr">
        <is>
          <t>Outono</t>
        </is>
      </c>
      <c r="G21" s="5" t="inlineStr">
        <is>
          <t>(O)410</t>
        </is>
      </c>
      <c r="H21" s="4" t="n">
        <v>2</v>
      </c>
      <c r="I21" s="4" t="n">
        <v>3</v>
      </c>
      <c r="J21" s="4" t="n">
        <v>3</v>
      </c>
      <c r="K21" s="4" t="n">
        <v>2</v>
      </c>
      <c r="L21" s="4">
        <f>IF(COUNT(H21:K21)=4,SUM(H21:K21),"")</f>
        <v/>
      </c>
      <c r="M21" s="4">
        <f>IF(OR(E21="",L21=""),"",IF(AND(L21&gt;=VLOOKUP(E21,Tiers!$A$4:$C$7,2,0),L21&lt;=VLOOKUP(E21,Tiers!$A$4:$C$7,3,0)),"OK","Fora"))</f>
        <v/>
      </c>
      <c r="N21" s="5" t="inlineStr">
        <is>
          <t>Ganhar de NPC</t>
        </is>
      </c>
      <c r="O21" s="5" t="inlineStr"/>
      <c r="P21" s="4" t="n">
        <v>410</v>
      </c>
      <c r="Q21" s="4" t="n">
        <v>20</v>
      </c>
    </row>
    <row r="22">
      <c r="A22" s="4" t="n">
        <v>18</v>
      </c>
      <c r="B22" s="5" t="inlineStr">
        <is>
          <t>Winter Root</t>
        </is>
      </c>
      <c r="C22" s="5" t="inlineStr">
        <is>
          <t>Raiz de Inverno</t>
        </is>
      </c>
      <c r="D22" s="5" t="inlineStr">
        <is>
          <t>Forrageável</t>
        </is>
      </c>
      <c r="E22" s="10" t="inlineStr">
        <is>
          <t>Comum</t>
        </is>
      </c>
      <c r="F22" s="4" t="inlineStr">
        <is>
          <t>Inverno</t>
        </is>
      </c>
      <c r="G22" s="5" t="inlineStr">
        <is>
          <t>(O)412</t>
        </is>
      </c>
      <c r="H22" s="4" t="n">
        <v>3</v>
      </c>
      <c r="I22" s="4" t="n">
        <v>2</v>
      </c>
      <c r="J22" s="4" t="n">
        <v>3</v>
      </c>
      <c r="K22" s="4" t="n">
        <v>2</v>
      </c>
      <c r="L22" s="4">
        <f>IF(COUNT(H22:K22)=4,SUM(H22:K22),"")</f>
        <v/>
      </c>
      <c r="M22" s="4">
        <f>IF(OR(E22="",L22=""),"",IF(AND(L22&gt;=VLOOKUP(E22,Tiers!$A$4:$C$7,2,0),L22&lt;=VLOOKUP(E22,Tiers!$A$4:$C$7,3,0)),"OK","Fora"))</f>
        <v/>
      </c>
      <c r="N22" s="5" t="inlineStr">
        <is>
          <t>Ganhar de NPC</t>
        </is>
      </c>
      <c r="O22" s="5" t="inlineStr">
        <is>
          <t>raro no Inverno</t>
        </is>
      </c>
      <c r="P22" s="4" t="n">
        <v>412</v>
      </c>
      <c r="Q22" s="4" t="n">
        <v>70</v>
      </c>
    </row>
    <row r="23">
      <c r="A23" s="4" t="n">
        <v>19</v>
      </c>
      <c r="B23" s="5" t="inlineStr">
        <is>
          <t>Snow Yam</t>
        </is>
      </c>
      <c r="C23" s="5" t="inlineStr">
        <is>
          <t>Inhame da Neve</t>
        </is>
      </c>
      <c r="D23" s="5" t="inlineStr">
        <is>
          <t>Forrageável</t>
        </is>
      </c>
      <c r="E23" s="10" t="inlineStr">
        <is>
          <t>Comum</t>
        </is>
      </c>
      <c r="F23" s="4" t="inlineStr">
        <is>
          <t>Inverno</t>
        </is>
      </c>
      <c r="G23" s="5" t="inlineStr">
        <is>
          <t>(O)416</t>
        </is>
      </c>
      <c r="H23" s="4" t="n">
        <v>2</v>
      </c>
      <c r="I23" s="4" t="n">
        <v>3</v>
      </c>
      <c r="J23" s="4" t="n">
        <v>2</v>
      </c>
      <c r="K23" s="4" t="n">
        <v>3</v>
      </c>
      <c r="L23" s="4">
        <f>IF(COUNT(H23:K23)=4,SUM(H23:K23),"")</f>
        <v/>
      </c>
      <c r="M23" s="4">
        <f>IF(OR(E23="",L23=""),"",IF(AND(L23&gt;=VLOOKUP(E23,Tiers!$A$4:$C$7,2,0),L23&lt;=VLOOKUP(E23,Tiers!$A$4:$C$7,3,0)),"OK","Fora"))</f>
        <v/>
      </c>
      <c r="N23" s="5" t="inlineStr">
        <is>
          <t>Ganhar de NPC</t>
        </is>
      </c>
      <c r="O23" s="5" t="inlineStr"/>
      <c r="P23" s="4" t="n">
        <v>416</v>
      </c>
      <c r="Q23" s="4" t="n">
        <v>100</v>
      </c>
    </row>
    <row r="24">
      <c r="A24" s="4" t="n">
        <v>20</v>
      </c>
      <c r="B24" s="5" t="inlineStr">
        <is>
          <t>Chicken</t>
        </is>
      </c>
      <c r="C24" s="5" t="inlineStr">
        <is>
          <t>Galinha</t>
        </is>
      </c>
      <c r="D24" s="5" t="inlineStr">
        <is>
          <t>Animal</t>
        </is>
      </c>
      <c r="E24" s="10" t="inlineStr">
        <is>
          <t>Comum</t>
        </is>
      </c>
      <c r="F24" s="4" t="inlineStr">
        <is>
          <t>Nenhum</t>
        </is>
      </c>
      <c r="G24" s="5" t="inlineStr">
        <is>
          <t>Animal:Chicken</t>
        </is>
      </c>
      <c r="H24" s="4" t="n">
        <v>2</v>
      </c>
      <c r="I24" s="4" t="n">
        <v>2</v>
      </c>
      <c r="J24" s="4" t="n">
        <v>3</v>
      </c>
      <c r="K24" s="4" t="n">
        <v>2</v>
      </c>
      <c r="L24" s="4">
        <f>IF(COUNT(H24:K24)=4,SUM(H24:K24),"")</f>
        <v/>
      </c>
      <c r="M24" s="4">
        <f>IF(OR(E24="",L24=""),"",IF(AND(L24&gt;=VLOOKUP(E24,Tiers!$A$4:$C$7,2,0),L24&lt;=VLOOKUP(E24,Tiers!$A$4:$C$7,3,0)),"OK","Fora"))</f>
        <v/>
      </c>
      <c r="N24" s="5" t="inlineStr">
        <is>
          <t>Pacote inicial</t>
        </is>
      </c>
      <c r="O24" s="5" t="inlineStr"/>
      <c r="P24" s="4" t="n"/>
      <c r="Q24" s="4" t="n"/>
    </row>
    <row r="25">
      <c r="A25" s="4" t="n">
        <v>21</v>
      </c>
      <c r="B25" s="5" t="inlineStr">
        <is>
          <t>Cow</t>
        </is>
      </c>
      <c r="C25" s="5" t="inlineStr">
        <is>
          <t>Vaca</t>
        </is>
      </c>
      <c r="D25" s="5" t="inlineStr">
        <is>
          <t>Animal</t>
        </is>
      </c>
      <c r="E25" s="10" t="inlineStr">
        <is>
          <t>Comum</t>
        </is>
      </c>
      <c r="F25" s="4" t="inlineStr">
        <is>
          <t>Nenhum</t>
        </is>
      </c>
      <c r="G25" s="5" t="inlineStr">
        <is>
          <t>Animal:Cow</t>
        </is>
      </c>
      <c r="H25" s="4" t="n">
        <v>4</v>
      </c>
      <c r="I25" s="4" t="n">
        <v>3</v>
      </c>
      <c r="J25" s="4" t="n">
        <v>4</v>
      </c>
      <c r="K25" s="4" t="n">
        <v>3</v>
      </c>
      <c r="L25" s="4">
        <f>IF(COUNT(H25:K25)=4,SUM(H25:K25),"")</f>
        <v/>
      </c>
      <c r="M25" s="4">
        <f>IF(OR(E25="",L25=""),"",IF(AND(L25&gt;=VLOOKUP(E25,Tiers!$A$4:$C$7,2,0),L25&lt;=VLOOKUP(E25,Tiers!$A$4:$C$7,3,0)),"OK","Fora"))</f>
        <v/>
      </c>
      <c r="N25" s="5" t="inlineStr">
        <is>
          <t>Ganhar de NPC</t>
        </is>
      </c>
      <c r="O25" s="5" t="inlineStr">
        <is>
          <t>animal grande</t>
        </is>
      </c>
      <c r="P25" s="4" t="n"/>
      <c r="Q25" s="4" t="n"/>
    </row>
    <row r="26">
      <c r="A26" s="4" t="n">
        <v>22</v>
      </c>
      <c r="B26" s="5" t="inlineStr">
        <is>
          <t>Duck</t>
        </is>
      </c>
      <c r="C26" s="5" t="inlineStr">
        <is>
          <t>Pato</t>
        </is>
      </c>
      <c r="D26" s="5" t="inlineStr">
        <is>
          <t>Animal</t>
        </is>
      </c>
      <c r="E26" s="10" t="inlineStr">
        <is>
          <t>Comum</t>
        </is>
      </c>
      <c r="F26" s="4" t="inlineStr">
        <is>
          <t>Nenhum</t>
        </is>
      </c>
      <c r="G26" s="5" t="inlineStr">
        <is>
          <t>Animal:Duck</t>
        </is>
      </c>
      <c r="H26" s="4" t="n">
        <v>3</v>
      </c>
      <c r="I26" s="4" t="n">
        <v>3</v>
      </c>
      <c r="J26" s="4" t="n">
        <v>2</v>
      </c>
      <c r="K26" s="4" t="n">
        <v>3</v>
      </c>
      <c r="L26" s="4">
        <f>IF(COUNT(H26:K26)=4,SUM(H26:K26),"")</f>
        <v/>
      </c>
      <c r="M26" s="4">
        <f>IF(OR(E26="",L26=""),"",IF(AND(L26&gt;=VLOOKUP(E26,Tiers!$A$4:$C$7,2,0),L26&lt;=VLOOKUP(E26,Tiers!$A$4:$C$7,3,0)),"OK","Fora"))</f>
        <v/>
      </c>
      <c r="N26" s="5" t="inlineStr">
        <is>
          <t>Ganhar de NPC</t>
        </is>
      </c>
      <c r="O26" s="5" t="inlineStr"/>
      <c r="P26" s="4" t="n"/>
      <c r="Q26" s="4" t="n"/>
    </row>
    <row r="27">
      <c r="A27" s="4" t="n">
        <v>23</v>
      </c>
      <c r="B27" s="5" t="inlineStr">
        <is>
          <t>Rabbit</t>
        </is>
      </c>
      <c r="C27" s="5" t="inlineStr">
        <is>
          <t>Coelho</t>
        </is>
      </c>
      <c r="D27" s="5" t="inlineStr">
        <is>
          <t>Animal</t>
        </is>
      </c>
      <c r="E27" s="10" t="inlineStr">
        <is>
          <t>Comum</t>
        </is>
      </c>
      <c r="F27" s="4" t="inlineStr">
        <is>
          <t>Nenhum</t>
        </is>
      </c>
      <c r="G27" s="5" t="inlineStr">
        <is>
          <t>Animal:Rabbit</t>
        </is>
      </c>
      <c r="H27" s="4" t="n">
        <v>2</v>
      </c>
      <c r="I27" s="4" t="n">
        <v>4</v>
      </c>
      <c r="J27" s="4" t="n">
        <v>2</v>
      </c>
      <c r="K27" s="4" t="n">
        <v>3</v>
      </c>
      <c r="L27" s="4">
        <f>IF(COUNT(H27:K27)=4,SUM(H27:K27),"")</f>
        <v/>
      </c>
      <c r="M27" s="4">
        <f>IF(OR(E27="",L27=""),"",IF(AND(L27&gt;=VLOOKUP(E27,Tiers!$A$4:$C$7,2,0),L27&lt;=VLOOKUP(E27,Tiers!$A$4:$C$7,3,0)),"OK","Fora"))</f>
        <v/>
      </c>
      <c r="N27" s="5" t="inlineStr">
        <is>
          <t>Ganhar de NPC</t>
        </is>
      </c>
      <c r="O27" s="5" t="inlineStr">
        <is>
          <t>ágil: laterais</t>
        </is>
      </c>
      <c r="P27" s="4" t="n"/>
      <c r="Q27" s="4" t="n"/>
    </row>
    <row r="28">
      <c r="A28" s="4" t="n">
        <v>24</v>
      </c>
      <c r="B28" s="5" t="inlineStr">
        <is>
          <t>Quartz</t>
        </is>
      </c>
      <c r="C28" s="5" t="inlineStr">
        <is>
          <t>Quartzo</t>
        </is>
      </c>
      <c r="D28" s="5" t="inlineStr">
        <is>
          <t>Mineral</t>
        </is>
      </c>
      <c r="E28" s="10" t="inlineStr">
        <is>
          <t>Comum</t>
        </is>
      </c>
      <c r="F28" s="4" t="inlineStr">
        <is>
          <t>Nenhum</t>
        </is>
      </c>
      <c r="G28" s="5" t="inlineStr">
        <is>
          <t>(O)80</t>
        </is>
      </c>
      <c r="H28" s="4" t="n">
        <v>4</v>
      </c>
      <c r="I28" s="4" t="n">
        <v>2</v>
      </c>
      <c r="J28" s="4" t="n">
        <v>2</v>
      </c>
      <c r="K28" s="4" t="n">
        <v>4</v>
      </c>
      <c r="L28" s="4">
        <f>IF(COUNT(H28:K28)=4,SUM(H28:K28),"")</f>
        <v/>
      </c>
      <c r="M28" s="4">
        <f>IF(OR(E28="",L28=""),"",IF(AND(L28&gt;=VLOOKUP(E28,Tiers!$A$4:$C$7,2,0),L28&lt;=VLOOKUP(E28,Tiers!$A$4:$C$7,3,0)),"OK","Fora"))</f>
        <v/>
      </c>
      <c r="N28" s="5" t="inlineStr">
        <is>
          <t>Ganhar de NPC</t>
        </is>
      </c>
      <c r="O28" s="5" t="inlineStr">
        <is>
          <t>cristal: horizontal</t>
        </is>
      </c>
      <c r="P28" s="4" t="n">
        <v>80</v>
      </c>
      <c r="Q28" s="4" t="n">
        <v>25</v>
      </c>
    </row>
    <row r="29">
      <c r="A29" s="4" t="n">
        <v>25</v>
      </c>
      <c r="B29" s="5" t="inlineStr">
        <is>
          <t>Abigail</t>
        </is>
      </c>
      <c r="C29" s="5" t="inlineStr">
        <is>
          <t>Abigail</t>
        </is>
      </c>
      <c r="D29" s="5" t="inlineStr">
        <is>
          <t>Aldeão</t>
        </is>
      </c>
      <c r="E29" s="11" t="inlineStr">
        <is>
          <t>Incomum</t>
        </is>
      </c>
      <c r="F29" s="4" t="inlineStr">
        <is>
          <t>Nenhum</t>
        </is>
      </c>
      <c r="G29" s="5" t="inlineStr">
        <is>
          <t>Villager:Abigail</t>
        </is>
      </c>
      <c r="H29" s="4" t="n">
        <v>6</v>
      </c>
      <c r="I29" s="4" t="n">
        <v>6</v>
      </c>
      <c r="J29" s="4" t="n">
        <v>4</v>
      </c>
      <c r="K29" s="4" t="n">
        <v>5</v>
      </c>
      <c r="L29" s="4">
        <f>IF(COUNT(H29:K29)=4,SUM(H29:K29),"")</f>
        <v/>
      </c>
      <c r="M29" s="4">
        <f>IF(OR(E29="",L29=""),"",IF(AND(L29&gt;=VLOOKUP(E29,Tiers!$A$4:$C$7,2,0),L29&lt;=VLOOKUP(E29,Tiers!$A$4:$C$7,3,0)),"OK","Fora"))</f>
        <v/>
      </c>
      <c r="N29" s="5" t="inlineStr">
        <is>
          <t>Ganhar de NPC</t>
        </is>
      </c>
      <c r="O29" s="5" t="inlineStr">
        <is>
          <t>mentora / evento inicial</t>
        </is>
      </c>
      <c r="P29" s="4" t="n"/>
      <c r="Q29" s="4" t="n"/>
    </row>
    <row r="30">
      <c r="A30" s="4" t="n">
        <v>26</v>
      </c>
      <c r="B30" s="5" t="inlineStr">
        <is>
          <t>Sebastian</t>
        </is>
      </c>
      <c r="C30" s="5" t="inlineStr">
        <is>
          <t>Sebastian</t>
        </is>
      </c>
      <c r="D30" s="5" t="inlineStr">
        <is>
          <t>Aldeão</t>
        </is>
      </c>
      <c r="E30" s="11" t="inlineStr">
        <is>
          <t>Incomum</t>
        </is>
      </c>
      <c r="F30" s="4" t="inlineStr">
        <is>
          <t>Nenhum</t>
        </is>
      </c>
      <c r="G30" s="5" t="inlineStr">
        <is>
          <t>Villager:Sebastian</t>
        </is>
      </c>
      <c r="H30" s="4" t="n">
        <v>5</v>
      </c>
      <c r="I30" s="4" t="n">
        <v>6</v>
      </c>
      <c r="J30" s="4" t="n">
        <v>5</v>
      </c>
      <c r="K30" s="4" t="n">
        <v>5</v>
      </c>
      <c r="L30" s="4">
        <f>IF(COUNT(H30:K30)=4,SUM(H30:K30),"")</f>
        <v/>
      </c>
      <c r="M30" s="4">
        <f>IF(OR(E30="",L30=""),"",IF(AND(L30&gt;=VLOOKUP(E30,Tiers!$A$4:$C$7,2,0),L30&lt;=VLOOKUP(E30,Tiers!$A$4:$C$7,3,0)),"OK","Fora"))</f>
        <v/>
      </c>
      <c r="N30" s="5" t="inlineStr">
        <is>
          <t>Ganhar de NPC</t>
        </is>
      </c>
      <c r="O30" s="5" t="inlineStr"/>
      <c r="P30" s="4" t="n"/>
      <c r="Q30" s="4" t="n"/>
    </row>
    <row r="31">
      <c r="A31" s="4" t="n">
        <v>27</v>
      </c>
      <c r="B31" s="5" t="inlineStr">
        <is>
          <t>Sam</t>
        </is>
      </c>
      <c r="C31" s="5" t="inlineStr">
        <is>
          <t>Sam</t>
        </is>
      </c>
      <c r="D31" s="5" t="inlineStr">
        <is>
          <t>Aldeão</t>
        </is>
      </c>
      <c r="E31" s="11" t="inlineStr">
        <is>
          <t>Incomum</t>
        </is>
      </c>
      <c r="F31" s="4" t="inlineStr">
        <is>
          <t>Nenhum</t>
        </is>
      </c>
      <c r="G31" s="5" t="inlineStr">
        <is>
          <t>Villager:Sam</t>
        </is>
      </c>
      <c r="H31" s="4" t="n">
        <v>5</v>
      </c>
      <c r="I31" s="4" t="n">
        <v>5</v>
      </c>
      <c r="J31" s="4" t="n">
        <v>4</v>
      </c>
      <c r="K31" s="4" t="n">
        <v>4</v>
      </c>
      <c r="L31" s="4">
        <f>IF(COUNT(H31:K31)=4,SUM(H31:K31),"")</f>
        <v/>
      </c>
      <c r="M31" s="4">
        <f>IF(OR(E31="",L31=""),"",IF(AND(L31&gt;=VLOOKUP(E31,Tiers!$A$4:$C$7,2,0),L31&lt;=VLOOKUP(E31,Tiers!$A$4:$C$7,3,0)),"OK","Fora"))</f>
        <v/>
      </c>
      <c r="N31" s="5" t="inlineStr">
        <is>
          <t>Ganhar de NPC</t>
        </is>
      </c>
      <c r="O31" s="5" t="inlineStr"/>
      <c r="P31" s="4" t="n"/>
      <c r="Q31" s="4" t="n"/>
    </row>
    <row r="32">
      <c r="A32" s="4" t="n">
        <v>28</v>
      </c>
      <c r="B32" s="5" t="inlineStr">
        <is>
          <t>Penny</t>
        </is>
      </c>
      <c r="C32" s="5" t="inlineStr">
        <is>
          <t>Penny</t>
        </is>
      </c>
      <c r="D32" s="5" t="inlineStr">
        <is>
          <t>Aldeão</t>
        </is>
      </c>
      <c r="E32" s="11" t="inlineStr">
        <is>
          <t>Incomum</t>
        </is>
      </c>
      <c r="F32" s="4" t="inlineStr">
        <is>
          <t>Nenhum</t>
        </is>
      </c>
      <c r="G32" s="5" t="inlineStr">
        <is>
          <t>Villager:Penny</t>
        </is>
      </c>
      <c r="H32" s="4" t="n">
        <v>4</v>
      </c>
      <c r="I32" s="4" t="n">
        <v>4</v>
      </c>
      <c r="J32" s="4" t="n">
        <v>6</v>
      </c>
      <c r="K32" s="4" t="n">
        <v>4</v>
      </c>
      <c r="L32" s="4">
        <f>IF(COUNT(H32:K32)=4,SUM(H32:K32),"")</f>
        <v/>
      </c>
      <c r="M32" s="4">
        <f>IF(OR(E32="",L32=""),"",IF(AND(L32&gt;=VLOOKUP(E32,Tiers!$A$4:$C$7,2,0),L32&lt;=VLOOKUP(E32,Tiers!$A$4:$C$7,3,0)),"OK","Fora"))</f>
        <v/>
      </c>
      <c r="N32" s="5" t="inlineStr">
        <is>
          <t>Ganhar de NPC</t>
        </is>
      </c>
      <c r="O32" s="5" t="inlineStr">
        <is>
          <t>acolhedora: base forte</t>
        </is>
      </c>
      <c r="P32" s="4" t="n"/>
      <c r="Q32" s="4" t="n"/>
    </row>
    <row r="33">
      <c r="A33" s="4" t="n">
        <v>29</v>
      </c>
      <c r="B33" s="5" t="inlineStr">
        <is>
          <t>Leah</t>
        </is>
      </c>
      <c r="C33" s="5" t="inlineStr">
        <is>
          <t>Leah</t>
        </is>
      </c>
      <c r="D33" s="5" t="inlineStr">
        <is>
          <t>Aldeão</t>
        </is>
      </c>
      <c r="E33" s="11" t="inlineStr">
        <is>
          <t>Incomum</t>
        </is>
      </c>
      <c r="F33" s="4" t="inlineStr">
        <is>
          <t>Nenhum</t>
        </is>
      </c>
      <c r="G33" s="5" t="inlineStr">
        <is>
          <t>Villager:Leah</t>
        </is>
      </c>
      <c r="H33" s="4" t="n">
        <v>5</v>
      </c>
      <c r="I33" s="4" t="n">
        <v>4</v>
      </c>
      <c r="J33" s="4" t="n">
        <v>5</v>
      </c>
      <c r="K33" s="4" t="n">
        <v>4</v>
      </c>
      <c r="L33" s="4">
        <f>IF(COUNT(H33:K33)=4,SUM(H33:K33),"")</f>
        <v/>
      </c>
      <c r="M33" s="4">
        <f>IF(OR(E33="",L33=""),"",IF(AND(L33&gt;=VLOOKUP(E33,Tiers!$A$4:$C$7,2,0),L33&lt;=VLOOKUP(E33,Tiers!$A$4:$C$7,3,0)),"OK","Fora"))</f>
        <v/>
      </c>
      <c r="N33" s="5" t="inlineStr">
        <is>
          <t>Ganhar de NPC</t>
        </is>
      </c>
      <c r="O33" s="5" t="inlineStr"/>
      <c r="P33" s="4" t="n"/>
      <c r="Q33" s="4" t="n"/>
    </row>
    <row r="34">
      <c r="A34" s="4" t="n">
        <v>30</v>
      </c>
      <c r="B34" s="5" t="inlineStr">
        <is>
          <t>Elliott</t>
        </is>
      </c>
      <c r="C34" s="5" t="inlineStr">
        <is>
          <t>Elliott</t>
        </is>
      </c>
      <c r="D34" s="5" t="inlineStr">
        <is>
          <t>Aldeão</t>
        </is>
      </c>
      <c r="E34" s="11" t="inlineStr">
        <is>
          <t>Incomum</t>
        </is>
      </c>
      <c r="F34" s="4" t="inlineStr">
        <is>
          <t>Nenhum</t>
        </is>
      </c>
      <c r="G34" s="5" t="inlineStr">
        <is>
          <t>Villager:Elliott</t>
        </is>
      </c>
      <c r="H34" s="4" t="n">
        <v>4</v>
      </c>
      <c r="I34" s="4" t="n">
        <v>6</v>
      </c>
      <c r="J34" s="4" t="n">
        <v>4</v>
      </c>
      <c r="K34" s="4" t="n">
        <v>5</v>
      </c>
      <c r="L34" s="4">
        <f>IF(COUNT(H34:K34)=4,SUM(H34:K34),"")</f>
        <v/>
      </c>
      <c r="M34" s="4">
        <f>IF(OR(E34="",L34=""),"",IF(AND(L34&gt;=VLOOKUP(E34,Tiers!$A$4:$C$7,2,0),L34&lt;=VLOOKUP(E34,Tiers!$A$4:$C$7,3,0)),"OK","Fora"))</f>
        <v/>
      </c>
      <c r="N34" s="5" t="inlineStr">
        <is>
          <t>Ganhar de NPC</t>
        </is>
      </c>
      <c r="O34" s="5" t="inlineStr">
        <is>
          <t>eloquente: direita</t>
        </is>
      </c>
      <c r="P34" s="4" t="n"/>
      <c r="Q34" s="4" t="n"/>
    </row>
    <row r="35">
      <c r="A35" s="4" t="n">
        <v>31</v>
      </c>
      <c r="B35" s="5" t="inlineStr">
        <is>
          <t>Haley</t>
        </is>
      </c>
      <c r="C35" s="5" t="inlineStr">
        <is>
          <t>Haley</t>
        </is>
      </c>
      <c r="D35" s="5" t="inlineStr">
        <is>
          <t>Aldeão</t>
        </is>
      </c>
      <c r="E35" s="11" t="inlineStr">
        <is>
          <t>Incomum</t>
        </is>
      </c>
      <c r="F35" s="4" t="inlineStr">
        <is>
          <t>Nenhum</t>
        </is>
      </c>
      <c r="G35" s="5" t="inlineStr">
        <is>
          <t>Villager:Haley</t>
        </is>
      </c>
      <c r="H35" s="4" t="n">
        <v>5</v>
      </c>
      <c r="I35" s="4" t="n">
        <v>4</v>
      </c>
      <c r="J35" s="4" t="n">
        <v>4</v>
      </c>
      <c r="K35" s="4" t="n">
        <v>4</v>
      </c>
      <c r="L35" s="4">
        <f>IF(COUNT(H35:K35)=4,SUM(H35:K35),"")</f>
        <v/>
      </c>
      <c r="M35" s="4">
        <f>IF(OR(E35="",L35=""),"",IF(AND(L35&gt;=VLOOKUP(E35,Tiers!$A$4:$C$7,2,0),L35&lt;=VLOOKUP(E35,Tiers!$A$4:$C$7,3,0)),"OK","Fora"))</f>
        <v/>
      </c>
      <c r="N35" s="5" t="inlineStr">
        <is>
          <t>Ganhar de NPC</t>
        </is>
      </c>
      <c r="O35" s="5" t="inlineStr"/>
      <c r="P35" s="4" t="n"/>
      <c r="Q35" s="4" t="n"/>
    </row>
    <row r="36">
      <c r="A36" s="4" t="n">
        <v>32</v>
      </c>
      <c r="B36" s="5" t="inlineStr">
        <is>
          <t>Maru</t>
        </is>
      </c>
      <c r="C36" s="5" t="inlineStr">
        <is>
          <t>Maru</t>
        </is>
      </c>
      <c r="D36" s="5" t="inlineStr">
        <is>
          <t>Aldeão</t>
        </is>
      </c>
      <c r="E36" s="11" t="inlineStr">
        <is>
          <t>Incomum</t>
        </is>
      </c>
      <c r="F36" s="4" t="inlineStr">
        <is>
          <t>Nenhum</t>
        </is>
      </c>
      <c r="G36" s="5" t="inlineStr">
        <is>
          <t>Villager:Maru</t>
        </is>
      </c>
      <c r="H36" s="4" t="n">
        <v>5</v>
      </c>
      <c r="I36" s="4" t="n">
        <v>5</v>
      </c>
      <c r="J36" s="4" t="n">
        <v>5</v>
      </c>
      <c r="K36" s="4" t="n">
        <v>5</v>
      </c>
      <c r="L36" s="4">
        <f>IF(COUNT(H36:K36)=4,SUM(H36:K36),"")</f>
        <v/>
      </c>
      <c r="M36" s="4">
        <f>IF(OR(E36="",L36=""),"",IF(AND(L36&gt;=VLOOKUP(E36,Tiers!$A$4:$C$7,2,0),L36&lt;=VLOOKUP(E36,Tiers!$A$4:$C$7,3,0)),"OK","Fora"))</f>
        <v/>
      </c>
      <c r="N36" s="5" t="inlineStr">
        <is>
          <t>Ganhar de NPC</t>
        </is>
      </c>
      <c r="O36" s="5" t="inlineStr">
        <is>
          <t>engenheira: equilibrada</t>
        </is>
      </c>
      <c r="P36" s="4" t="n"/>
      <c r="Q36" s="4" t="n"/>
    </row>
    <row r="37">
      <c r="A37" s="4" t="n">
        <v>33</v>
      </c>
      <c r="B37" s="5" t="inlineStr">
        <is>
          <t>Emily</t>
        </is>
      </c>
      <c r="C37" s="5" t="inlineStr">
        <is>
          <t>Emily</t>
        </is>
      </c>
      <c r="D37" s="5" t="inlineStr">
        <is>
          <t>Aldeão</t>
        </is>
      </c>
      <c r="E37" s="11" t="inlineStr">
        <is>
          <t>Incomum</t>
        </is>
      </c>
      <c r="F37" s="4" t="inlineStr">
        <is>
          <t>Nenhum</t>
        </is>
      </c>
      <c r="G37" s="5" t="inlineStr">
        <is>
          <t>Villager:Emily</t>
        </is>
      </c>
      <c r="H37" s="4" t="n">
        <v>4</v>
      </c>
      <c r="I37" s="4" t="n">
        <v>5</v>
      </c>
      <c r="J37" s="4" t="n">
        <v>4</v>
      </c>
      <c r="K37" s="4" t="n">
        <v>5</v>
      </c>
      <c r="L37" s="4">
        <f>IF(COUNT(H37:K37)=4,SUM(H37:K37),"")</f>
        <v/>
      </c>
      <c r="M37" s="4">
        <f>IF(OR(E37="",L37=""),"",IF(AND(L37&gt;=VLOOKUP(E37,Tiers!$A$4:$C$7,2,0),L37&lt;=VLOOKUP(E37,Tiers!$A$4:$C$7,3,0)),"OK","Fora"))</f>
        <v/>
      </c>
      <c r="N37" s="5" t="inlineStr">
        <is>
          <t>Ganhar de NPC</t>
        </is>
      </c>
      <c r="O37" s="5" t="inlineStr"/>
      <c r="P37" s="4" t="n"/>
      <c r="Q37" s="4" t="n"/>
    </row>
    <row r="38">
      <c r="A38" s="4" t="n">
        <v>34</v>
      </c>
      <c r="B38" s="5" t="inlineStr">
        <is>
          <t>Shane</t>
        </is>
      </c>
      <c r="C38" s="5" t="inlineStr">
        <is>
          <t>Shane</t>
        </is>
      </c>
      <c r="D38" s="5" t="inlineStr">
        <is>
          <t>Aldeão</t>
        </is>
      </c>
      <c r="E38" s="11" t="inlineStr">
        <is>
          <t>Incomum</t>
        </is>
      </c>
      <c r="F38" s="4" t="inlineStr">
        <is>
          <t>Nenhum</t>
        </is>
      </c>
      <c r="G38" s="5" t="inlineStr">
        <is>
          <t>Villager:Shane</t>
        </is>
      </c>
      <c r="H38" s="4" t="n">
        <v>6</v>
      </c>
      <c r="I38" s="4" t="n">
        <v>4</v>
      </c>
      <c r="J38" s="4" t="n">
        <v>5</v>
      </c>
      <c r="K38" s="4" t="n">
        <v>3</v>
      </c>
      <c r="L38" s="4">
        <f>IF(COUNT(H38:K38)=4,SUM(H38:K38),"")</f>
        <v/>
      </c>
      <c r="M38" s="4">
        <f>IF(OR(E38="",L38=""),"",IF(AND(L38&gt;=VLOOKUP(E38,Tiers!$A$4:$C$7,2,0),L38&lt;=VLOOKUP(E38,Tiers!$A$4:$C$7,3,0)),"OK","Fora"))</f>
        <v/>
      </c>
      <c r="N38" s="5" t="inlineStr">
        <is>
          <t>Ganhar de NPC</t>
        </is>
      </c>
      <c r="O38" s="5" t="inlineStr">
        <is>
          <t>pico no topo</t>
        </is>
      </c>
      <c r="P38" s="4" t="n"/>
      <c r="Q38" s="4" t="n"/>
    </row>
    <row r="39">
      <c r="A39" s="4" t="n">
        <v>35</v>
      </c>
      <c r="B39" s="5" t="inlineStr">
        <is>
          <t>Gus</t>
        </is>
      </c>
      <c r="C39" s="5" t="inlineStr">
        <is>
          <t>Gus</t>
        </is>
      </c>
      <c r="D39" s="5" t="inlineStr">
        <is>
          <t>Aldeão</t>
        </is>
      </c>
      <c r="E39" s="11" t="inlineStr">
        <is>
          <t>Incomum</t>
        </is>
      </c>
      <c r="F39" s="4" t="inlineStr">
        <is>
          <t>Nenhum</t>
        </is>
      </c>
      <c r="G39" s="5" t="inlineStr">
        <is>
          <t>Villager:Gus</t>
        </is>
      </c>
      <c r="H39" s="4" t="n">
        <v>5</v>
      </c>
      <c r="I39" s="4" t="n">
        <v>5</v>
      </c>
      <c r="J39" s="4" t="n">
        <v>6</v>
      </c>
      <c r="K39" s="4" t="n">
        <v>5</v>
      </c>
      <c r="L39" s="4">
        <f>IF(COUNT(H39:K39)=4,SUM(H39:K39),"")</f>
        <v/>
      </c>
      <c r="M39" s="4">
        <f>IF(OR(E39="",L39=""),"",IF(AND(L39&gt;=VLOOKUP(E39,Tiers!$A$4:$C$7,2,0),L39&lt;=VLOOKUP(E39,Tiers!$A$4:$C$7,3,0)),"OK","Fora"))</f>
        <v/>
      </c>
      <c r="N39" s="5" t="inlineStr">
        <is>
          <t>Ganhar de NPC</t>
        </is>
      </c>
      <c r="O39" s="5" t="inlineStr">
        <is>
          <t>dono do Saloon; robusto</t>
        </is>
      </c>
      <c r="P39" s="4" t="n"/>
      <c r="Q39" s="4" t="n"/>
    </row>
    <row r="40">
      <c r="A40" s="4" t="n">
        <v>36</v>
      </c>
      <c r="B40" s="5" t="inlineStr">
        <is>
          <t>Pierre</t>
        </is>
      </c>
      <c r="C40" s="5" t="inlineStr">
        <is>
          <t>Pierre</t>
        </is>
      </c>
      <c r="D40" s="5" t="inlineStr">
        <is>
          <t>Aldeão</t>
        </is>
      </c>
      <c r="E40" s="11" t="inlineStr">
        <is>
          <t>Incomum</t>
        </is>
      </c>
      <c r="F40" s="4" t="inlineStr">
        <is>
          <t>Nenhum</t>
        </is>
      </c>
      <c r="G40" s="5" t="inlineStr">
        <is>
          <t>Villager:Pierre</t>
        </is>
      </c>
      <c r="H40" s="4" t="n">
        <v>5</v>
      </c>
      <c r="I40" s="4" t="n">
        <v>4</v>
      </c>
      <c r="J40" s="4" t="n">
        <v>4</v>
      </c>
      <c r="K40" s="4" t="n">
        <v>4</v>
      </c>
      <c r="L40" s="4">
        <f>IF(COUNT(H40:K40)=4,SUM(H40:K40),"")</f>
        <v/>
      </c>
      <c r="M40" s="4">
        <f>IF(OR(E40="",L40=""),"",IF(AND(L40&gt;=VLOOKUP(E40,Tiers!$A$4:$C$7,2,0),L40&lt;=VLOOKUP(E40,Tiers!$A$4:$C$7,3,0)),"OK","Fora"))</f>
        <v/>
      </c>
      <c r="N40" s="5" t="inlineStr">
        <is>
          <t>Ganhar de NPC</t>
        </is>
      </c>
      <c r="O40" s="5" t="inlineStr">
        <is>
          <t>mediano</t>
        </is>
      </c>
      <c r="P40" s="4" t="n"/>
      <c r="Q40" s="4" t="n"/>
    </row>
    <row r="41">
      <c r="A41" s="4" t="n">
        <v>37</v>
      </c>
      <c r="B41" s="5" t="inlineStr">
        <is>
          <t>Robin</t>
        </is>
      </c>
      <c r="C41" s="5" t="inlineStr">
        <is>
          <t>Robin</t>
        </is>
      </c>
      <c r="D41" s="5" t="inlineStr">
        <is>
          <t>Aldeão</t>
        </is>
      </c>
      <c r="E41" s="11" t="inlineStr">
        <is>
          <t>Incomum</t>
        </is>
      </c>
      <c r="F41" s="4" t="inlineStr">
        <is>
          <t>Nenhum</t>
        </is>
      </c>
      <c r="G41" s="5" t="inlineStr">
        <is>
          <t>Villager:Robin</t>
        </is>
      </c>
      <c r="H41" s="4" t="n">
        <v>6</v>
      </c>
      <c r="I41" s="4" t="n">
        <v>5</v>
      </c>
      <c r="J41" s="4" t="n">
        <v>5</v>
      </c>
      <c r="K41" s="4" t="n">
        <v>4</v>
      </c>
      <c r="L41" s="4">
        <f>IF(COUNT(H41:K41)=4,SUM(H41:K41),"")</f>
        <v/>
      </c>
      <c r="M41" s="4">
        <f>IF(OR(E41="",L41=""),"",IF(AND(L41&gt;=VLOOKUP(E41,Tiers!$A$4:$C$7,2,0),L41&lt;=VLOOKUP(E41,Tiers!$A$4:$C$7,3,0)),"OK","Fora"))</f>
        <v/>
      </c>
      <c r="N41" s="5" t="inlineStr">
        <is>
          <t>Ganhar de NPC</t>
        </is>
      </c>
      <c r="O41" s="5" t="inlineStr">
        <is>
          <t>carpinteira: sólida</t>
        </is>
      </c>
      <c r="P41" s="4" t="n"/>
      <c r="Q41" s="4" t="n"/>
    </row>
    <row r="42">
      <c r="A42" s="4" t="n">
        <v>38</v>
      </c>
      <c r="B42" s="5" t="inlineStr">
        <is>
          <t>Clint</t>
        </is>
      </c>
      <c r="C42" s="5" t="inlineStr">
        <is>
          <t>Clint</t>
        </is>
      </c>
      <c r="D42" s="5" t="inlineStr">
        <is>
          <t>Aldeão</t>
        </is>
      </c>
      <c r="E42" s="11" t="inlineStr">
        <is>
          <t>Incomum</t>
        </is>
      </c>
      <c r="F42" s="4" t="inlineStr">
        <is>
          <t>Nenhum</t>
        </is>
      </c>
      <c r="G42" s="5" t="inlineStr">
        <is>
          <t>Villager:Clint</t>
        </is>
      </c>
      <c r="H42" s="4" t="n">
        <v>6</v>
      </c>
      <c r="I42" s="4" t="n">
        <v>5</v>
      </c>
      <c r="J42" s="4" t="n">
        <v>4</v>
      </c>
      <c r="K42" s="4" t="n">
        <v>5</v>
      </c>
      <c r="L42" s="4">
        <f>IF(COUNT(H42:K42)=4,SUM(H42:K42),"")</f>
        <v/>
      </c>
      <c r="M42" s="4">
        <f>IF(OR(E42="",L42=""),"",IF(AND(L42&gt;=VLOOKUP(E42,Tiers!$A$4:$C$7,2,0),L42&lt;=VLOOKUP(E42,Tiers!$A$4:$C$7,3,0)),"OK","Fora"))</f>
        <v/>
      </c>
      <c r="N42" s="5" t="inlineStr">
        <is>
          <t>Ganhar de NPC</t>
        </is>
      </c>
      <c r="O42" s="5" t="inlineStr">
        <is>
          <t>ferreiro: forte</t>
        </is>
      </c>
      <c r="P42" s="4" t="n"/>
      <c r="Q42" s="4" t="n"/>
    </row>
    <row r="43">
      <c r="A43" s="4" t="n">
        <v>39</v>
      </c>
      <c r="B43" s="5" t="inlineStr">
        <is>
          <t>Willy</t>
        </is>
      </c>
      <c r="C43" s="5" t="inlineStr">
        <is>
          <t>Willy</t>
        </is>
      </c>
      <c r="D43" s="5" t="inlineStr">
        <is>
          <t>Aldeão</t>
        </is>
      </c>
      <c r="E43" s="11" t="inlineStr">
        <is>
          <t>Incomum</t>
        </is>
      </c>
      <c r="F43" s="4" t="inlineStr">
        <is>
          <t>Nenhum</t>
        </is>
      </c>
      <c r="G43" s="5" t="inlineStr">
        <is>
          <t>Villager:Willy</t>
        </is>
      </c>
      <c r="H43" s="4" t="n">
        <v>4</v>
      </c>
      <c r="I43" s="4" t="n">
        <v>5</v>
      </c>
      <c r="J43" s="4" t="n">
        <v>4</v>
      </c>
      <c r="K43" s="4" t="n">
        <v>5</v>
      </c>
      <c r="L43" s="4">
        <f>IF(COUNT(H43:K43)=4,SUM(H43:K43),"")</f>
        <v/>
      </c>
      <c r="M43" s="4">
        <f>IF(OR(E43="",L43=""),"",IF(AND(L43&gt;=VLOOKUP(E43,Tiers!$A$4:$C$7,2,0),L43&lt;=VLOOKUP(E43,Tiers!$A$4:$C$7,3,0)),"OK","Fora"))</f>
        <v/>
      </c>
      <c r="N43" s="5" t="inlineStr">
        <is>
          <t>Ganhar de NPC</t>
        </is>
      </c>
      <c r="O43" s="5" t="inlineStr">
        <is>
          <t>pescador</t>
        </is>
      </c>
      <c r="P43" s="4" t="n"/>
      <c r="Q43" s="4" t="n"/>
    </row>
    <row r="44">
      <c r="A44" s="4" t="n">
        <v>40</v>
      </c>
      <c r="B44" s="5" t="inlineStr">
        <is>
          <t>Skeleton</t>
        </is>
      </c>
      <c r="C44" s="5" t="inlineStr">
        <is>
          <t>Esqueleto</t>
        </is>
      </c>
      <c r="D44" s="5" t="inlineStr">
        <is>
          <t>Monstro</t>
        </is>
      </c>
      <c r="E44" s="12" t="inlineStr">
        <is>
          <t>Raro</t>
        </is>
      </c>
      <c r="F44" s="4" t="inlineStr">
        <is>
          <t>Nenhum</t>
        </is>
      </c>
      <c r="G44" s="5" t="inlineStr">
        <is>
          <t>Monster:Skeleton</t>
        </is>
      </c>
      <c r="H44" s="4" t="n">
        <v>7</v>
      </c>
      <c r="I44" s="4" t="n">
        <v>6</v>
      </c>
      <c r="J44" s="4" t="n">
        <v>6</v>
      </c>
      <c r="K44" s="4" t="n">
        <v>5</v>
      </c>
      <c r="L44" s="4">
        <f>IF(COUNT(H44:K44)=4,SUM(H44:K44),"")</f>
        <v/>
      </c>
      <c r="M44" s="4">
        <f>IF(OR(E44="",L44=""),"",IF(AND(L44&gt;=VLOOKUP(E44,Tiers!$A$4:$C$7,2,0),L44&lt;=VLOOKUP(E44,Tiers!$A$4:$C$7,3,0)),"OK","Fora"))</f>
        <v/>
      </c>
      <c r="N44" s="5" t="inlineStr">
        <is>
          <t>Ganhar de NPC</t>
        </is>
      </c>
      <c r="O44" s="5" t="inlineStr"/>
      <c r="P44" s="4" t="n"/>
      <c r="Q44" s="4" t="n"/>
    </row>
    <row r="45">
      <c r="A45" s="4" t="n">
        <v>41</v>
      </c>
      <c r="B45" s="5" t="inlineStr">
        <is>
          <t>Shadow Brute</t>
        </is>
      </c>
      <c r="C45" s="5" t="inlineStr">
        <is>
          <t>Bruto das Sombras</t>
        </is>
      </c>
      <c r="D45" s="5" t="inlineStr">
        <is>
          <t>Monstro</t>
        </is>
      </c>
      <c r="E45" s="12" t="inlineStr">
        <is>
          <t>Raro</t>
        </is>
      </c>
      <c r="F45" s="4" t="inlineStr">
        <is>
          <t>Nenhum</t>
        </is>
      </c>
      <c r="G45" s="5" t="inlineStr">
        <is>
          <t>Monster:ShadowBrute</t>
        </is>
      </c>
      <c r="H45" s="4" t="n">
        <v>8</v>
      </c>
      <c r="I45" s="4" t="n">
        <v>6</v>
      </c>
      <c r="J45" s="4" t="n">
        <v>6</v>
      </c>
      <c r="K45" s="4" t="n">
        <v>5</v>
      </c>
      <c r="L45" s="4">
        <f>IF(COUNT(H45:K45)=4,SUM(H45:K45),"")</f>
        <v/>
      </c>
      <c r="M45" s="4">
        <f>IF(OR(E45="",L45=""),"",IF(AND(L45&gt;=VLOOKUP(E45,Tiers!$A$4:$C$7,2,0),L45&lt;=VLOOKUP(E45,Tiers!$A$4:$C$7,3,0)),"OK","Fora"))</f>
        <v/>
      </c>
      <c r="N45" s="5" t="inlineStr">
        <is>
          <t>Ganhar de NPC</t>
        </is>
      </c>
      <c r="O45" s="5" t="inlineStr">
        <is>
          <t>agressivo: topo</t>
        </is>
      </c>
      <c r="P45" s="4" t="n"/>
      <c r="Q45" s="4" t="n"/>
    </row>
    <row r="46">
      <c r="A46" s="4" t="n">
        <v>42</v>
      </c>
      <c r="B46" s="5" t="inlineStr">
        <is>
          <t>Serpent</t>
        </is>
      </c>
      <c r="C46" s="5" t="inlineStr">
        <is>
          <t>Serpente</t>
        </is>
      </c>
      <c r="D46" s="5" t="inlineStr">
        <is>
          <t>Monstro</t>
        </is>
      </c>
      <c r="E46" s="12" t="inlineStr">
        <is>
          <t>Raro</t>
        </is>
      </c>
      <c r="F46" s="4" t="inlineStr">
        <is>
          <t>Nenhum</t>
        </is>
      </c>
      <c r="G46" s="5" t="inlineStr">
        <is>
          <t>Monster:Serpent</t>
        </is>
      </c>
      <c r="H46" s="4" t="n">
        <v>6</v>
      </c>
      <c r="I46" s="4" t="n">
        <v>8</v>
      </c>
      <c r="J46" s="4" t="n">
        <v>6</v>
      </c>
      <c r="K46" s="4" t="n">
        <v>4</v>
      </c>
      <c r="L46" s="4">
        <f>IF(COUNT(H46:K46)=4,SUM(H46:K46),"")</f>
        <v/>
      </c>
      <c r="M46" s="4">
        <f>IF(OR(E46="",L46=""),"",IF(AND(L46&gt;=VLOOKUP(E46,Tiers!$A$4:$C$7,2,0),L46&lt;=VLOOKUP(E46,Tiers!$A$4:$C$7,3,0)),"OK","Fora"))</f>
        <v/>
      </c>
      <c r="N46" s="5" t="inlineStr">
        <is>
          <t>Ganhar de NPC</t>
        </is>
      </c>
      <c r="O46" s="5" t="inlineStr">
        <is>
          <t>veloz: direita</t>
        </is>
      </c>
      <c r="P46" s="4" t="n"/>
      <c r="Q46" s="4" t="n"/>
    </row>
    <row r="47">
      <c r="A47" s="4" t="n">
        <v>43</v>
      </c>
      <c r="B47" s="5" t="inlineStr">
        <is>
          <t>Pepper Rex</t>
        </is>
      </c>
      <c r="C47" s="5" t="inlineStr">
        <is>
          <t>Pepper Rex</t>
        </is>
      </c>
      <c r="D47" s="5" t="inlineStr">
        <is>
          <t>Monstro</t>
        </is>
      </c>
      <c r="E47" s="12" t="inlineStr">
        <is>
          <t>Raro</t>
        </is>
      </c>
      <c r="F47" s="4" t="inlineStr">
        <is>
          <t>Nenhum</t>
        </is>
      </c>
      <c r="G47" s="5" t="inlineStr">
        <is>
          <t>Monster:PepperRex</t>
        </is>
      </c>
      <c r="H47" s="4" t="n">
        <v>8</v>
      </c>
      <c r="I47" s="4" t="n">
        <v>7</v>
      </c>
      <c r="J47" s="4" t="n">
        <v>7</v>
      </c>
      <c r="K47" s="4" t="n">
        <v>5</v>
      </c>
      <c r="L47" s="4">
        <f>IF(COUNT(H47:K47)=4,SUM(H47:K47),"")</f>
        <v/>
      </c>
      <c r="M47" s="4">
        <f>IF(OR(E47="",L47=""),"",IF(AND(L47&gt;=VLOOKUP(E47,Tiers!$A$4:$C$7,2,0),L47&lt;=VLOOKUP(E47,Tiers!$A$4:$C$7,3,0)),"OK","Fora"))</f>
        <v/>
      </c>
      <c r="N47" s="5" t="inlineStr">
        <is>
          <t>Ganhar de NPC</t>
        </is>
      </c>
      <c r="O47" s="5" t="inlineStr">
        <is>
          <t>dino poderoso</t>
        </is>
      </c>
      <c r="P47" s="4" t="n"/>
      <c r="Q47" s="4" t="n"/>
    </row>
    <row r="48">
      <c r="A48" s="4" t="n">
        <v>44</v>
      </c>
      <c r="B48" s="5" t="inlineStr">
        <is>
          <t>Diamond</t>
        </is>
      </c>
      <c r="C48" s="5" t="inlineStr">
        <is>
          <t>Diamante</t>
        </is>
      </c>
      <c r="D48" s="5" t="inlineStr">
        <is>
          <t>Mineral</t>
        </is>
      </c>
      <c r="E48" s="12" t="inlineStr">
        <is>
          <t>Raro</t>
        </is>
      </c>
      <c r="F48" s="4" t="inlineStr">
        <is>
          <t>Nenhum</t>
        </is>
      </c>
      <c r="G48" s="5" t="inlineStr">
        <is>
          <t>(O)72</t>
        </is>
      </c>
      <c r="H48" s="4" t="n">
        <v>7</v>
      </c>
      <c r="I48" s="4" t="n">
        <v>6</v>
      </c>
      <c r="J48" s="4" t="n">
        <v>7</v>
      </c>
      <c r="K48" s="4" t="n">
        <v>6</v>
      </c>
      <c r="L48" s="4">
        <f>IF(COUNT(H48:K48)=4,SUM(H48:K48),"")</f>
        <v/>
      </c>
      <c r="M48" s="4">
        <f>IF(OR(E48="",L48=""),"",IF(AND(L48&gt;=VLOOKUP(E48,Tiers!$A$4:$C$7,2,0),L48&lt;=VLOOKUP(E48,Tiers!$A$4:$C$7,3,0)),"OK","Fora"))</f>
        <v/>
      </c>
      <c r="N48" s="5" t="inlineStr">
        <is>
          <t>Ganhar de NPC</t>
        </is>
      </c>
      <c r="O48" s="5" t="inlineStr">
        <is>
          <t>equilíbrio alto</t>
        </is>
      </c>
      <c r="P48" s="4" t="n">
        <v>72</v>
      </c>
      <c r="Q48" s="4" t="n">
        <v>750</v>
      </c>
    </row>
    <row r="49">
      <c r="A49" s="4" t="n">
        <v>45</v>
      </c>
      <c r="B49" s="5" t="inlineStr">
        <is>
          <t>Ancient Fruit</t>
        </is>
      </c>
      <c r="C49" s="5" t="inlineStr">
        <is>
          <t>Fruta Ancestral</t>
        </is>
      </c>
      <c r="D49" s="5" t="inlineStr">
        <is>
          <t>Crop</t>
        </is>
      </c>
      <c r="E49" s="12" t="inlineStr">
        <is>
          <t>Raro</t>
        </is>
      </c>
      <c r="F49" s="4" t="inlineStr">
        <is>
          <t>Nenhum</t>
        </is>
      </c>
      <c r="G49" s="5" t="inlineStr">
        <is>
          <t>(O)454</t>
        </is>
      </c>
      <c r="H49" s="4" t="n">
        <v>7</v>
      </c>
      <c r="I49" s="4" t="n">
        <v>7</v>
      </c>
      <c r="J49" s="4" t="n">
        <v>6</v>
      </c>
      <c r="K49" s="4" t="n">
        <v>6</v>
      </c>
      <c r="L49" s="4">
        <f>IF(COUNT(H49:K49)=4,SUM(H49:K49),"")</f>
        <v/>
      </c>
      <c r="M49" s="4">
        <f>IF(OR(E49="",L49=""),"",IF(AND(L49&gt;=VLOOKUP(E49,Tiers!$A$4:$C$7,2,0),L49&lt;=VLOOKUP(E49,Tiers!$A$4:$C$7,3,0)),"OK","Fora"))</f>
        <v/>
      </c>
      <c r="N49" s="5" t="inlineStr">
        <is>
          <t>Ganhar de NPC</t>
        </is>
      </c>
      <c r="O49" s="5" t="inlineStr"/>
      <c r="P49" s="4" t="n">
        <v>454</v>
      </c>
      <c r="Q49" s="4" t="n">
        <v>550</v>
      </c>
    </row>
    <row r="50">
      <c r="A50" s="4" t="n">
        <v>46</v>
      </c>
      <c r="B50" s="5" t="inlineStr">
        <is>
          <t>Sturgeon</t>
        </is>
      </c>
      <c r="C50" s="5" t="inlineStr">
        <is>
          <t>Esturjão</t>
        </is>
      </c>
      <c r="D50" s="5" t="inlineStr">
        <is>
          <t>Peixe</t>
        </is>
      </c>
      <c r="E50" s="12" t="inlineStr">
        <is>
          <t>Raro</t>
        </is>
      </c>
      <c r="F50" s="4" t="inlineStr">
        <is>
          <t>Nenhum</t>
        </is>
      </c>
      <c r="G50" s="5" t="inlineStr">
        <is>
          <t>(O)698</t>
        </is>
      </c>
      <c r="H50" s="4" t="n">
        <v>6</v>
      </c>
      <c r="I50" s="4" t="n">
        <v>6</v>
      </c>
      <c r="J50" s="4" t="n">
        <v>8</v>
      </c>
      <c r="K50" s="4" t="n">
        <v>5</v>
      </c>
      <c r="L50" s="4">
        <f>IF(COUNT(H50:K50)=4,SUM(H50:K50),"")</f>
        <v/>
      </c>
      <c r="M50" s="4">
        <f>IF(OR(E50="",L50=""),"",IF(AND(L50&gt;=VLOOKUP(E50,Tiers!$A$4:$C$7,2,0),L50&lt;=VLOOKUP(E50,Tiers!$A$4:$C$7,3,0)),"OK","Fora"))</f>
        <v/>
      </c>
      <c r="N50" s="5" t="inlineStr">
        <is>
          <t>Ganhar de NPC</t>
        </is>
      </c>
      <c r="O50" s="5" t="inlineStr">
        <is>
          <t>peixe grande: base</t>
        </is>
      </c>
      <c r="P50" s="4" t="n">
        <v>698</v>
      </c>
      <c r="Q50" s="4" t="n">
        <v>200</v>
      </c>
    </row>
    <row r="51">
      <c r="A51" s="4" t="n">
        <v>47</v>
      </c>
      <c r="B51" s="5" t="inlineStr">
        <is>
          <t>Sweet Gem Berry</t>
        </is>
      </c>
      <c r="C51" s="5" t="inlineStr">
        <is>
          <t>Baga-joia Doce</t>
        </is>
      </c>
      <c r="D51" s="5" t="inlineStr">
        <is>
          <t>Crop</t>
        </is>
      </c>
      <c r="E51" s="12" t="inlineStr">
        <is>
          <t>Raro</t>
        </is>
      </c>
      <c r="F51" s="4" t="inlineStr">
        <is>
          <t>Nenhum</t>
        </is>
      </c>
      <c r="G51" s="5" t="inlineStr">
        <is>
          <t>(O)417</t>
        </is>
      </c>
      <c r="H51" s="4" t="n">
        <v>8</v>
      </c>
      <c r="I51" s="4" t="n">
        <v>7</v>
      </c>
      <c r="J51" s="4" t="n">
        <v>7</v>
      </c>
      <c r="K51" s="4" t="n">
        <v>6</v>
      </c>
      <c r="L51" s="4">
        <f>IF(COUNT(H51:K51)=4,SUM(H51:K51),"")</f>
        <v/>
      </c>
      <c r="M51" s="4">
        <f>IF(OR(E51="",L51=""),"",IF(AND(L51&gt;=VLOOKUP(E51,Tiers!$A$4:$C$7,2,0),L51&lt;=VLOOKUP(E51,Tiers!$A$4:$C$7,3,0)),"OK","Fora"))</f>
        <v/>
      </c>
      <c r="N51" s="5" t="inlineStr">
        <is>
          <t>Ganhar de NPC</t>
        </is>
      </c>
      <c r="O51" s="5" t="inlineStr">
        <is>
          <t>premium do tier</t>
        </is>
      </c>
      <c r="P51" s="4" t="n">
        <v>417</v>
      </c>
      <c r="Q51" s="4" t="n">
        <v>3000</v>
      </c>
    </row>
    <row r="52">
      <c r="A52" s="4" t="n">
        <v>48</v>
      </c>
      <c r="B52" s="5" t="inlineStr">
        <is>
          <t>Wizard</t>
        </is>
      </c>
      <c r="C52" s="5" t="inlineStr">
        <is>
          <t>Mago</t>
        </is>
      </c>
      <c r="D52" s="5" t="inlineStr">
        <is>
          <t>Aldeão</t>
        </is>
      </c>
      <c r="E52" s="13" t="inlineStr">
        <is>
          <t>Lendário</t>
        </is>
      </c>
      <c r="F52" s="4" t="inlineStr">
        <is>
          <t>Nenhum</t>
        </is>
      </c>
      <c r="G52" s="5" t="inlineStr">
        <is>
          <t>Villager:Wizard</t>
        </is>
      </c>
      <c r="H52" s="4" t="n">
        <v>9</v>
      </c>
      <c r="I52" s="4" t="n">
        <v>8</v>
      </c>
      <c r="J52" s="4" t="n">
        <v>7</v>
      </c>
      <c r="K52" s="4" t="n">
        <v>8</v>
      </c>
      <c r="L52" s="4">
        <f>IF(COUNT(H52:K52)=4,SUM(H52:K52),"")</f>
        <v/>
      </c>
      <c r="M52" s="4">
        <f>IF(OR(E52="",L52=""),"",IF(AND(L52&gt;=VLOOKUP(E52,Tiers!$A$4:$C$7,2,0),L52&lt;=VLOOKUP(E52,Tiers!$A$4:$C$7,3,0)),"OK","Fora"))</f>
        <v/>
      </c>
      <c r="N52" s="5" t="inlineStr">
        <is>
          <t>Campeão</t>
        </is>
      </c>
      <c r="O52" s="5" t="inlineStr">
        <is>
          <t>boss</t>
        </is>
      </c>
      <c r="P52" s="4" t="n"/>
      <c r="Q52" s="4" t="n"/>
    </row>
    <row r="53">
      <c r="A53" s="4" t="n">
        <v>49</v>
      </c>
      <c r="B53" s="5" t="inlineStr">
        <is>
          <t>Junimo King</t>
        </is>
      </c>
      <c r="C53" s="5" t="inlineStr">
        <is>
          <t>Rei Junimo</t>
        </is>
      </c>
      <c r="D53" s="5" t="inlineStr">
        <is>
          <t>Especial</t>
        </is>
      </c>
      <c r="E53" s="13" t="inlineStr">
        <is>
          <t>Lendário</t>
        </is>
      </c>
      <c r="F53" s="4" t="inlineStr">
        <is>
          <t>Nenhum</t>
        </is>
      </c>
      <c r="G53" s="5" t="inlineStr">
        <is>
          <t>Special:JunimoKing</t>
        </is>
      </c>
      <c r="H53" s="4" t="n">
        <v>8</v>
      </c>
      <c r="I53" s="4" t="n">
        <v>9</v>
      </c>
      <c r="J53" s="4" t="n">
        <v>8</v>
      </c>
      <c r="K53" s="4" t="n">
        <v>9</v>
      </c>
      <c r="L53" s="4">
        <f>IF(COUNT(H53:K53)=4,SUM(H53:K53),"")</f>
        <v/>
      </c>
      <c r="M53" s="4">
        <f>IF(OR(E53="",L53=""),"",IF(AND(L53&gt;=VLOOKUP(E53,Tiers!$A$4:$C$7,2,0),L53&lt;=VLOOKUP(E53,Tiers!$A$4:$C$7,3,0)),"OK","Fora"))</f>
        <v/>
      </c>
      <c r="N53" s="5" t="inlineStr">
        <is>
          <t>Campeão</t>
        </is>
      </c>
      <c r="O53" s="5" t="inlineStr">
        <is>
          <t>boss</t>
        </is>
      </c>
      <c r="P53" s="4" t="n"/>
      <c r="Q53" s="4" t="n"/>
    </row>
    <row r="54">
      <c r="A54" s="4" t="n">
        <v>50</v>
      </c>
      <c r="B54" s="5" t="inlineStr">
        <is>
          <t>Mr. Qi</t>
        </is>
      </c>
      <c r="C54" s="5" t="inlineStr">
        <is>
          <t>Sr. Qi</t>
        </is>
      </c>
      <c r="D54" s="5" t="inlineStr">
        <is>
          <t>Especial</t>
        </is>
      </c>
      <c r="E54" s="13" t="inlineStr">
        <is>
          <t>Lendário</t>
        </is>
      </c>
      <c r="F54" s="4" t="inlineStr">
        <is>
          <t>Nenhum</t>
        </is>
      </c>
      <c r="G54" s="5" t="inlineStr">
        <is>
          <t>Villager:Qi</t>
        </is>
      </c>
      <c r="H54" s="4" t="n">
        <v>10</v>
      </c>
      <c r="I54" s="4" t="n">
        <v>9</v>
      </c>
      <c r="J54" s="4" t="n">
        <v>8</v>
      </c>
      <c r="K54" s="4" t="n">
        <v>8</v>
      </c>
      <c r="L54" s="4">
        <f>IF(COUNT(H54:K54)=4,SUM(H54:K54),"")</f>
        <v/>
      </c>
      <c r="M54" s="4">
        <f>IF(OR(E54="",L54=""),"",IF(AND(L54&gt;=VLOOKUP(E54,Tiers!$A$4:$C$7,2,0),L54&lt;=VLOOKUP(E54,Tiers!$A$4:$C$7,3,0)),"OK","Fora"))</f>
        <v/>
      </c>
      <c r="N54" s="5" t="inlineStr">
        <is>
          <t>Campeão</t>
        </is>
      </c>
      <c r="O54" s="5" t="inlineStr">
        <is>
          <t>boss supremo</t>
        </is>
      </c>
      <c r="P54" s="4" t="n"/>
      <c r="Q54" s="4" t="n"/>
    </row>
    <row r="55">
      <c r="A55" s="4" t="n">
        <v>51</v>
      </c>
      <c r="B55" s="5" t="inlineStr">
        <is>
          <t>Crimsonfish</t>
        </is>
      </c>
      <c r="C55" s="5" t="inlineStr">
        <is>
          <t>Peixe Carmesim</t>
        </is>
      </c>
      <c r="D55" s="5" t="inlineStr">
        <is>
          <t>Peixe</t>
        </is>
      </c>
      <c r="E55" s="13" t="inlineStr">
        <is>
          <t>Lendário</t>
        </is>
      </c>
      <c r="F55" s="4" t="inlineStr">
        <is>
          <t>Nenhum</t>
        </is>
      </c>
      <c r="G55" s="5" t="inlineStr">
        <is>
          <t>(O)159</t>
        </is>
      </c>
      <c r="H55" s="4" t="n">
        <v>9</v>
      </c>
      <c r="I55" s="4" t="n">
        <v>8</v>
      </c>
      <c r="J55" s="4" t="n">
        <v>9</v>
      </c>
      <c r="K55" s="4" t="n">
        <v>7</v>
      </c>
      <c r="L55" s="4">
        <f>IF(COUNT(H55:K55)=4,SUM(H55:K55),"")</f>
        <v/>
      </c>
      <c r="M55" s="4">
        <f>IF(OR(E55="",L55=""),"",IF(AND(L55&gt;=VLOOKUP(E55,Tiers!$A$4:$C$7,2,0),L55&lt;=VLOOKUP(E55,Tiers!$A$4:$C$7,3,0)),"OK","Fora"))</f>
        <v/>
      </c>
      <c r="N55" s="5" t="inlineStr">
        <is>
          <t>Campeão</t>
        </is>
      </c>
      <c r="O55" s="5" t="inlineStr">
        <is>
          <t>peixe lendário</t>
        </is>
      </c>
      <c r="P55" s="4" t="n">
        <v>159</v>
      </c>
      <c r="Q55" s="4" t="n">
        <v>1500</v>
      </c>
    </row>
    <row r="56">
      <c r="A56" s="4" t="n">
        <v>52</v>
      </c>
      <c r="B56" s="5" t="inlineStr">
        <is>
          <t>Prismatic Shard</t>
        </is>
      </c>
      <c r="C56" s="5" t="inlineStr">
        <is>
          <t>Fragmento Prismático</t>
        </is>
      </c>
      <c r="D56" s="5" t="inlineStr">
        <is>
          <t>Mineral</t>
        </is>
      </c>
      <c r="E56" s="13" t="inlineStr">
        <is>
          <t>Lendário</t>
        </is>
      </c>
      <c r="F56" s="4" t="inlineStr">
        <is>
          <t>Nenhum</t>
        </is>
      </c>
      <c r="G56" s="5" t="inlineStr">
        <is>
          <t>(O)74</t>
        </is>
      </c>
      <c r="H56" s="4" t="n">
        <v>10</v>
      </c>
      <c r="I56" s="4" t="n">
        <v>9</v>
      </c>
      <c r="J56" s="4" t="n">
        <v>9</v>
      </c>
      <c r="K56" s="4" t="n">
        <v>8</v>
      </c>
      <c r="L56" s="4">
        <f>IF(COUNT(H56:K56)=4,SUM(H56:K56),"")</f>
        <v/>
      </c>
      <c r="M56" s="4">
        <f>IF(OR(E56="",L56=""),"",IF(AND(L56&gt;=VLOOKUP(E56,Tiers!$A$4:$C$7,2,0),L56&lt;=VLOOKUP(E56,Tiers!$A$4:$C$7,3,0)),"OK","Fora"))</f>
        <v/>
      </c>
      <c r="N56" s="5" t="inlineStr">
        <is>
          <t>Campeão</t>
        </is>
      </c>
      <c r="O56" s="5" t="inlineStr">
        <is>
          <t>relíquia máxima</t>
        </is>
      </c>
      <c r="P56" s="4" t="n">
        <v>74</v>
      </c>
      <c r="Q56" s="4" t="n">
        <v>2000</v>
      </c>
    </row>
    <row r="57">
      <c r="A57" s="4" t="inlineStr"/>
      <c r="B57" s="5" t="inlineStr"/>
      <c r="C57" s="5" t="inlineStr"/>
      <c r="D57" s="5" t="inlineStr"/>
      <c r="E57" s="4" t="inlineStr"/>
      <c r="F57" s="4" t="inlineStr"/>
      <c r="G57" s="5" t="inlineStr"/>
      <c r="H57" s="4" t="inlineStr"/>
      <c r="I57" s="4" t="inlineStr"/>
      <c r="J57" s="4" t="inlineStr"/>
      <c r="K57" s="4" t="inlineStr"/>
      <c r="L57" s="4">
        <f>IF(COUNT(H57:K57)=4,SUM(H57:K57),"")</f>
        <v/>
      </c>
      <c r="M57" s="4">
        <f>IF(OR(E57="",L57=""),"",IF(AND(L57&gt;=VLOOKUP(E57,Tiers!$A$4:$C$7,2,0),L57&lt;=VLOOKUP(E57,Tiers!$A$4:$C$7,3,0)),"OK","Fora"))</f>
        <v/>
      </c>
      <c r="N57" s="5" t="n"/>
      <c r="O57" s="5" t="n"/>
      <c r="P57" s="4" t="n"/>
      <c r="Q57" s="4" t="n"/>
    </row>
    <row r="58">
      <c r="A58" s="4" t="inlineStr"/>
      <c r="B58" s="5" t="inlineStr"/>
      <c r="C58" s="5" t="inlineStr"/>
      <c r="D58" s="5" t="inlineStr"/>
      <c r="E58" s="4" t="inlineStr"/>
      <c r="F58" s="4" t="inlineStr"/>
      <c r="G58" s="5" t="inlineStr"/>
      <c r="H58" s="4" t="inlineStr"/>
      <c r="I58" s="4" t="inlineStr"/>
      <c r="J58" s="4" t="inlineStr"/>
      <c r="K58" s="4" t="inlineStr"/>
      <c r="L58" s="4">
        <f>IF(COUNT(H58:K58)=4,SUM(H58:K58),"")</f>
        <v/>
      </c>
      <c r="M58" s="4">
        <f>IF(OR(E58="",L58=""),"",IF(AND(L58&gt;=VLOOKUP(E58,Tiers!$A$4:$C$7,2,0),L58&lt;=VLOOKUP(E58,Tiers!$A$4:$C$7,3,0)),"OK","Fora"))</f>
        <v/>
      </c>
      <c r="N58" s="5" t="n"/>
      <c r="O58" s="5" t="n"/>
      <c r="P58" s="4" t="n"/>
      <c r="Q58" s="4" t="n"/>
    </row>
    <row r="59">
      <c r="A59" s="4" t="inlineStr"/>
      <c r="B59" s="5" t="inlineStr"/>
      <c r="C59" s="5" t="inlineStr"/>
      <c r="D59" s="5" t="inlineStr"/>
      <c r="E59" s="4" t="inlineStr"/>
      <c r="F59" s="4" t="inlineStr"/>
      <c r="G59" s="5" t="inlineStr"/>
      <c r="H59" s="4" t="inlineStr"/>
      <c r="I59" s="4" t="inlineStr"/>
      <c r="J59" s="4" t="inlineStr"/>
      <c r="K59" s="4" t="inlineStr"/>
      <c r="L59" s="4">
        <f>IF(COUNT(H59:K59)=4,SUM(H59:K59),"")</f>
        <v/>
      </c>
      <c r="M59" s="4">
        <f>IF(OR(E59="",L59=""),"",IF(AND(L59&gt;=VLOOKUP(E59,Tiers!$A$4:$C$7,2,0),L59&lt;=VLOOKUP(E59,Tiers!$A$4:$C$7,3,0)),"OK","Fora"))</f>
        <v/>
      </c>
      <c r="N59" s="5" t="n"/>
      <c r="O59" s="5" t="n"/>
      <c r="P59" s="4" t="n"/>
      <c r="Q59" s="4" t="n"/>
    </row>
    <row r="60">
      <c r="A60" s="4" t="inlineStr"/>
      <c r="B60" s="5" t="inlineStr"/>
      <c r="C60" s="5" t="inlineStr"/>
      <c r="D60" s="5" t="inlineStr"/>
      <c r="E60" s="4" t="inlineStr"/>
      <c r="F60" s="4" t="inlineStr"/>
      <c r="G60" s="5" t="inlineStr"/>
      <c r="H60" s="4" t="inlineStr"/>
      <c r="I60" s="4" t="inlineStr"/>
      <c r="J60" s="4" t="inlineStr"/>
      <c r="K60" s="4" t="inlineStr"/>
      <c r="L60" s="4">
        <f>IF(COUNT(H60:K60)=4,SUM(H60:K60),"")</f>
        <v/>
      </c>
      <c r="M60" s="4">
        <f>IF(OR(E60="",L60=""),"",IF(AND(L60&gt;=VLOOKUP(E60,Tiers!$A$4:$C$7,2,0),L60&lt;=VLOOKUP(E60,Tiers!$A$4:$C$7,3,0)),"OK","Fora"))</f>
        <v/>
      </c>
      <c r="N60" s="5" t="n"/>
      <c r="O60" s="5" t="n"/>
      <c r="P60" s="4" t="n"/>
      <c r="Q60" s="4" t="n"/>
    </row>
    <row r="61">
      <c r="A61" s="4" t="inlineStr"/>
      <c r="B61" s="5" t="inlineStr"/>
      <c r="C61" s="5" t="inlineStr"/>
      <c r="D61" s="5" t="inlineStr"/>
      <c r="E61" s="4" t="inlineStr"/>
      <c r="F61" s="4" t="inlineStr"/>
      <c r="G61" s="5" t="inlineStr"/>
      <c r="H61" s="4" t="inlineStr"/>
      <c r="I61" s="4" t="inlineStr"/>
      <c r="J61" s="4" t="inlineStr"/>
      <c r="K61" s="4" t="inlineStr"/>
      <c r="L61" s="4">
        <f>IF(COUNT(H61:K61)=4,SUM(H61:K61),"")</f>
        <v/>
      </c>
      <c r="M61" s="4">
        <f>IF(OR(E61="",L61=""),"",IF(AND(L61&gt;=VLOOKUP(E61,Tiers!$A$4:$C$7,2,0),L61&lt;=VLOOKUP(E61,Tiers!$A$4:$C$7,3,0)),"OK","Fora"))</f>
        <v/>
      </c>
      <c r="N61" s="5" t="n"/>
      <c r="O61" s="5" t="n"/>
      <c r="P61" s="4" t="n"/>
      <c r="Q61" s="4" t="n"/>
    </row>
    <row r="62">
      <c r="A62" s="4" t="inlineStr"/>
      <c r="B62" s="5" t="inlineStr"/>
      <c r="C62" s="5" t="inlineStr"/>
      <c r="D62" s="5" t="inlineStr"/>
      <c r="E62" s="4" t="inlineStr"/>
      <c r="F62" s="4" t="inlineStr"/>
      <c r="G62" s="5" t="inlineStr"/>
      <c r="H62" s="4" t="inlineStr"/>
      <c r="I62" s="4" t="inlineStr"/>
      <c r="J62" s="4" t="inlineStr"/>
      <c r="K62" s="4" t="inlineStr"/>
      <c r="L62" s="4">
        <f>IF(COUNT(H62:K62)=4,SUM(H62:K62),"")</f>
        <v/>
      </c>
      <c r="M62" s="4">
        <f>IF(OR(E62="",L62=""),"",IF(AND(L62&gt;=VLOOKUP(E62,Tiers!$A$4:$C$7,2,0),L62&lt;=VLOOKUP(E62,Tiers!$A$4:$C$7,3,0)),"OK","Fora"))</f>
        <v/>
      </c>
      <c r="N62" s="5" t="n"/>
      <c r="O62" s="5" t="n"/>
      <c r="P62" s="4" t="n"/>
      <c r="Q62" s="4" t="n"/>
    </row>
  </sheetData>
  <dataValidations count="4">
    <dataValidation sqref="D5:D62" showDropDown="0" showInputMessage="0" showErrorMessage="1" allowBlank="1" error="Valor inválido" type="list">
      <formula1>"Crop,Forrageável,Animal,Peixe,Monstro,Mineral,Prato,Aldeão,Especial"</formula1>
    </dataValidation>
    <dataValidation sqref="E5:E62" showDropDown="0" showInputMessage="0" showErrorMessage="1" allowBlank="1" error="Valor inválido" type="list">
      <formula1>"Comum,Incomum,Raro,Lendário"</formula1>
    </dataValidation>
    <dataValidation sqref="F5:F62" showDropDown="0" showInputMessage="0" showErrorMessage="1" allowBlank="1" error="Valor inválido" type="list">
      <formula1>"Primavera,Verão,Outono,Inverno,Nenhum"</formula1>
    </dataValidation>
    <dataValidation sqref="H5:H62 I5:I62 J5:J62 K5:K62" showDropDown="0" showInputMessage="0" showErrorMessage="1" allowBlank="1" error="Bordas devem ser de 1 a 10" type="whole" operator="between">
      <formula1>1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1" t="inlineStr">
        <is>
          <t>Referências (Stardew Valley Wiki)</t>
        </is>
      </c>
    </row>
    <row r="3">
      <c r="A3" s="14" t="inlineStr">
        <is>
          <t>Tema</t>
        </is>
      </c>
      <c r="B3" s="14" t="inlineStr">
        <is>
          <t>Link</t>
        </is>
      </c>
    </row>
    <row r="4">
      <c r="A4" t="inlineStr">
        <is>
          <t>Wiki (home)</t>
        </is>
      </c>
      <c r="B4" s="15" t="inlineStr">
        <is>
          <t>https://stardewvalleywiki.com/Stardew_Valley_Wiki</t>
        </is>
      </c>
    </row>
    <row r="5">
      <c r="A5" t="inlineStr">
        <is>
          <t>Villagers</t>
        </is>
      </c>
      <c r="B5" s="15" t="inlineStr">
        <is>
          <t>https://stardewvalleywiki.com/Villagers</t>
        </is>
      </c>
    </row>
    <row r="6">
      <c r="A6" t="inlineStr">
        <is>
          <t>Crops</t>
        </is>
      </c>
      <c r="B6" s="15" t="inlineStr">
        <is>
          <t>https://stardewvalleywiki.com/Crops</t>
        </is>
      </c>
    </row>
    <row r="7">
      <c r="A7" t="inlineStr">
        <is>
          <t>Animals</t>
        </is>
      </c>
      <c r="B7" s="15" t="inlineStr">
        <is>
          <t>https://stardewvalleywiki.com/Animals</t>
        </is>
      </c>
    </row>
    <row r="8">
      <c r="A8" t="inlineStr">
        <is>
          <t>Monsters</t>
        </is>
      </c>
      <c r="B8" s="15" t="inlineStr">
        <is>
          <t>https://stardewvalleywiki.com/Monsters</t>
        </is>
      </c>
    </row>
    <row r="9">
      <c r="A9" t="inlineStr">
        <is>
          <t>Foraging</t>
        </is>
      </c>
      <c r="B9" s="15" t="inlineStr">
        <is>
          <t>https://stardewvalleywiki.com/Foraging</t>
        </is>
      </c>
    </row>
    <row r="10">
      <c r="A10" t="inlineStr">
        <is>
          <t>Fish</t>
        </is>
      </c>
      <c r="B10" s="15" t="inlineStr">
        <is>
          <t>https://stardewvalleywiki.com/Fish</t>
        </is>
      </c>
    </row>
    <row r="11">
      <c r="A11" t="inlineStr">
        <is>
          <t>Cooking</t>
        </is>
      </c>
      <c r="B11" s="15" t="inlineStr">
        <is>
          <t>https://stardewvalleywiki.com/Cooking</t>
        </is>
      </c>
    </row>
    <row r="12">
      <c r="A12" t="inlineStr">
        <is>
          <t>Minerals</t>
        </is>
      </c>
      <c r="B12" s="15" t="inlineStr">
        <is>
          <t>https://stardewvalleywiki.com/Minerals</t>
        </is>
      </c>
    </row>
    <row r="13">
      <c r="A13" t="inlineStr">
        <is>
          <t>Tools</t>
        </is>
      </c>
      <c r="B13" s="15" t="inlineStr">
        <is>
          <t>https://stardewvalleywiki.com/Tools</t>
        </is>
      </c>
    </row>
    <row r="15">
      <c r="A15" s="16" t="inlineStr">
        <is>
          <t>Nota:</t>
        </is>
      </c>
    </row>
    <row r="16">
      <c r="A16" t="inlineStr">
        <is>
          <t>IDs de objeto VALIDADOS contra o Content/Data/Objects.xnb do jogo instalado (v1.6.15) — cada (O)&lt;id&gt; confere com o Name interno. Estações das páginas Crops/Foraging.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2026-07-23T18:40:05Z</dcterms:created>
  <dcterms:modified xmlns:dcterms="http://purl.org/dc/terms/" xmlns:xsi="http://www.w3.org/2001/XMLSchema-instance" xsi:type="dcterms:W3CDTF">2026-07-23T18:40:05Z</dcterms:modified>
</cp:coreProperties>
</file>